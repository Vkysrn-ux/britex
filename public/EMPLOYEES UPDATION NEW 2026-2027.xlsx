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WORKSHEET" sheetId="1" r:id="rId1"/>
    <sheet name="STAFF nam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<sst xmlns="http://schemas.openxmlformats.org/spreadsheetml/2006/main" count="561" uniqueCount="352">
  <si>
    <t>BRITEX (P) Ltd., COIMBATORE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</si>
  <si>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MASTER EMPLOYEE RECORD</t>
  </si>
  <si>
    <t>S.No</t>
  </si>
  <si>
    <t>Emp ID</t>
  </si>
  <si>
    <t>Name</t>
  </si>
  <si>
    <t>AADHAR NAME</t>
  </si>
  <si>
    <t>Male / Female</t>
  </si>
  <si>
    <t>Blood Group</t>
  </si>
  <si>
    <t>Date of Birth</t>
  </si>
  <si>
    <t>Age</t>
  </si>
  <si>
    <t>Date Of Joining</t>
  </si>
  <si>
    <t>Educational Qualification</t>
  </si>
  <si>
    <t>Department</t>
  </si>
  <si>
    <t>Designation</t>
  </si>
  <si>
    <t>Total Experience at BRITEX</t>
  </si>
  <si>
    <t xml:space="preserve"> Contact Number</t>
  </si>
  <si>
    <t>Emergency Contact Number</t>
  </si>
  <si>
    <t>Address (AADHAAR)</t>
  </si>
  <si>
    <t>Aadhaar Number</t>
  </si>
  <si>
    <t>BT - 01</t>
  </si>
  <si>
    <t>K. Vasanthamani</t>
  </si>
  <si>
    <t>Vasanthamani Krishnamoorthy</t>
  </si>
  <si>
    <t>Female</t>
  </si>
  <si>
    <t>AB+</t>
  </si>
  <si>
    <t>Middle School -10th std</t>
  </si>
  <si>
    <t>Staff</t>
  </si>
  <si>
    <t>Factory Incharge</t>
  </si>
  <si>
    <t>W/o Krishnamoorthy,5/111 C,Chennappachetti pudur,Chennappachetti pudur Post,Padhuvam palli,  Coimbatore - 641 659.</t>
  </si>
  <si>
    <t>243217054743</t>
  </si>
  <si>
    <t>BT  - 02</t>
  </si>
  <si>
    <t>R. Sreeja</t>
  </si>
  <si>
    <t>School - 5th std</t>
  </si>
  <si>
    <t>Checking</t>
  </si>
  <si>
    <t>W/o Soman, 6/193 M Rayarpalayam, Chennappacheetipudur post, Karumatham Patti via, Padhuvam palli, Sulur, Coimbatore - 641 659.</t>
  </si>
  <si>
    <t>BT  - 03</t>
  </si>
  <si>
    <t>S. Kalaiselvi</t>
  </si>
  <si>
    <t>Kalaiselvi Senthil kumar</t>
  </si>
  <si>
    <t>B+</t>
  </si>
  <si>
    <t>Middle School -8th std</t>
  </si>
  <si>
    <t>Cutting</t>
  </si>
  <si>
    <t>W/o Senthil kumar, 6/297 Anna Nagar, M Rayarpalayam, Chennappachetti pudur Post, Padhuvam Palli , Coimbatore-641 659.</t>
  </si>
  <si>
    <t>970498731446</t>
  </si>
  <si>
    <t>BT - 04</t>
  </si>
  <si>
    <t>P. Gokila</t>
  </si>
  <si>
    <t>Gokila Sivamani</t>
  </si>
  <si>
    <t>Tailor</t>
  </si>
  <si>
    <t>W/o Sivamani, 19/8 A-1, Karuppa Gounder Street, A.Kumarapalayam, Annur Post, Coimbatore - 641 653.</t>
  </si>
  <si>
    <t>627149682931</t>
  </si>
  <si>
    <t>BT  - 05</t>
  </si>
  <si>
    <t>N. Jayanthi</t>
  </si>
  <si>
    <t>Jayanthi Nanjappan</t>
  </si>
  <si>
    <t>Checking&amp;Packing Incharge</t>
  </si>
  <si>
    <t>W/o Nanjappan , 24 Makaliyamman Kovil Street, Kakapalayam, Sokkam Palayam, Annur Post , Coimbatore- 641 653.</t>
  </si>
  <si>
    <t>273304845002</t>
  </si>
  <si>
    <t>BT  - 06</t>
  </si>
  <si>
    <t>K. Divya</t>
  </si>
  <si>
    <t>Divya Krishnasamy</t>
  </si>
  <si>
    <t>A+</t>
  </si>
  <si>
    <t>B. sc  CS</t>
  </si>
  <si>
    <t xml:space="preserve">Material Planning &amp; Supplier Outsourcing </t>
  </si>
  <si>
    <t>D/o Krishnasamy, 2/171, Pillaiappam palayam,Pillaiappam palayam Post,  Annur, Coimbatore- 641 653.</t>
  </si>
  <si>
    <t>307243619919</t>
  </si>
  <si>
    <t>BT - 07</t>
  </si>
  <si>
    <t>C. Boopathi</t>
  </si>
  <si>
    <t>Boopathi Chinnakannan</t>
  </si>
  <si>
    <t>Male</t>
  </si>
  <si>
    <t>S/o. Chinnakannan, 5/233, Parakkadu, Chennappachettipudur Post, Chennappachetti pudur, Padhuvam Palli, Coimbatore- 641 659.</t>
  </si>
  <si>
    <t>353732269979</t>
  </si>
  <si>
    <t>BT  - 08</t>
  </si>
  <si>
    <t>J. Thulasimani</t>
  </si>
  <si>
    <t>O+</t>
  </si>
  <si>
    <t>Middle School -7th std</t>
  </si>
  <si>
    <t>W/o Jaganathan, 59/65A1, Vinayagar Kovil Street, Kakapalayam, Sokkam Palayam, Annur, Coimbatore- 641 653.</t>
  </si>
  <si>
    <t>815818807746</t>
  </si>
  <si>
    <t>BT  - 09</t>
  </si>
  <si>
    <t xml:space="preserve">J. Gomathipriya </t>
  </si>
  <si>
    <t>Gomathipriya Jayakumar</t>
  </si>
  <si>
    <t>Middle School - 8th std</t>
  </si>
  <si>
    <t>W/o Jayakumar, 72/31 Kamarajnagar-2, Magadevapuram, Mettupalayam, Coimbatore- 641 305.</t>
  </si>
  <si>
    <t>537016193262</t>
  </si>
  <si>
    <t>BT - 10</t>
  </si>
  <si>
    <t>M. Senthamarai</t>
  </si>
  <si>
    <t>Senthamarai</t>
  </si>
  <si>
    <t>Higher Secondary -12th std</t>
  </si>
  <si>
    <t>C/o Murugesan, 28 Mayiladumparai, Keelapoosanuthu, Singarajapuram, Kadamalaikundu, Theni - 625 579.</t>
  </si>
  <si>
    <t>667754945602</t>
  </si>
  <si>
    <t>BT  - 11</t>
  </si>
  <si>
    <t>S. Sangeetha</t>
  </si>
  <si>
    <t>Middle School - 9th std</t>
  </si>
  <si>
    <t>W/o Karthi, 1/137 Boyar Street, Karumatham Patti Via, Sulur Tk, Padhuvam palli post, Coimbatore - 641 659.</t>
  </si>
  <si>
    <t>962628217929</t>
  </si>
  <si>
    <t>BT  - 12</t>
  </si>
  <si>
    <t>N. Kowsalya</t>
  </si>
  <si>
    <t>Kowsalya Nagaraj</t>
  </si>
  <si>
    <t>Material - Despatch &amp; Receipt</t>
  </si>
  <si>
    <t>C/o Karthik , 7/31 A Santhanakarupanur, Jallipatti, Jallipatti post,  UdumalaiPettai, Tiruppur - 642 112</t>
  </si>
  <si>
    <t>877806417996</t>
  </si>
  <si>
    <t>BT  - 13</t>
  </si>
  <si>
    <t>K. Selvi</t>
  </si>
  <si>
    <t>Selvi Karuppusamy</t>
  </si>
  <si>
    <t>Middle School-10th std</t>
  </si>
  <si>
    <t>W/o Karuppasamy, 1/176 Karumatham patti via, Padhuvam palli post, Sulur tk, Coimbatore- 641 659.</t>
  </si>
  <si>
    <t>289661664593</t>
  </si>
  <si>
    <t>BT  - 14</t>
  </si>
  <si>
    <t>M. Saraswathi</t>
  </si>
  <si>
    <t>Saraswathi Myilsamy</t>
  </si>
  <si>
    <t>W/o Myilsamy, 4/10, Sundamedu, Chennappasetti pudur post, Padhuvam palli, Coimbatore-641 659.</t>
  </si>
  <si>
    <t>880831126620</t>
  </si>
  <si>
    <t>BT  - 15</t>
  </si>
  <si>
    <t>K. Deepa</t>
  </si>
  <si>
    <t>Deepa Kathirvel</t>
  </si>
  <si>
    <t>Middle School-8th std</t>
  </si>
  <si>
    <t>W/o. Kathirvel, 6/13, Perumal kovil vithi,Chinna Mopperipalayam, Mopperi palayam, Coimbatore - 641 659.</t>
  </si>
  <si>
    <t>868828329010</t>
  </si>
  <si>
    <t>BT  - 16</t>
  </si>
  <si>
    <t>A. Kanchana</t>
  </si>
  <si>
    <t>Kanchana Anandhakumar</t>
  </si>
  <si>
    <t>W/o. Anandhakumar, 2/10 Velayudham Palayam, Pillaippam Palayam post, Annur, Coimbatore-641 653.</t>
  </si>
  <si>
    <t>943569854846</t>
  </si>
  <si>
    <t>BT  - 17</t>
  </si>
  <si>
    <t>P. Bhuvaneshwari</t>
  </si>
  <si>
    <t>Buvaneshwari Palanisamy</t>
  </si>
  <si>
    <t>D/o. Palanisamy, 4 Bharathi Street, Sellanur, Annur, Coimbatore-641 653.</t>
  </si>
  <si>
    <t>565970326897</t>
  </si>
  <si>
    <t>BT  - 18</t>
  </si>
  <si>
    <t>S. Kannammal</t>
  </si>
  <si>
    <t xml:space="preserve">Kannammal </t>
  </si>
  <si>
    <t>Middle School-5th std</t>
  </si>
  <si>
    <t>W/o. Selvaraj, 45 A, Mariyamman Kovil Street, Kaka palayam, Annur, Coimbatore-641 653.</t>
  </si>
  <si>
    <t>898872696402</t>
  </si>
  <si>
    <t>BT  - 19</t>
  </si>
  <si>
    <t>K. Gokila</t>
  </si>
  <si>
    <t>Gokila Devaraj</t>
  </si>
  <si>
    <t>B.Com CA</t>
  </si>
  <si>
    <t>Production Incharge</t>
  </si>
  <si>
    <t>W/o. Kuppusamy, 6-183, M Rayar palayam, Maakaliamman kovil street, Paduvam palli, Coimbatore - 641 659.</t>
  </si>
  <si>
    <t>421179203981</t>
  </si>
  <si>
    <t>BT  - 20</t>
  </si>
  <si>
    <t>R. Saraswathi</t>
  </si>
  <si>
    <t>Saraswathi Ramasamy</t>
  </si>
  <si>
    <t>W/o Ramasamy, 5/54 Chennappachettipudur, Chennapachettipudur Post, Padhuvam palli, Sulur, Coimbatore-641 659.</t>
  </si>
  <si>
    <t>542692782462</t>
  </si>
  <si>
    <t>BT  - 21</t>
  </si>
  <si>
    <t>S. Prema</t>
  </si>
  <si>
    <t>Prema Selvaraj</t>
  </si>
  <si>
    <t>A1+</t>
  </si>
  <si>
    <t>W/o. Selvaraj , 232/30 Mariamman Kovil Street, Kakkapalayam, Annur post, Annur, Coimbatore-641 653.</t>
  </si>
  <si>
    <t>751088757990</t>
  </si>
  <si>
    <t>BT  - 22</t>
  </si>
  <si>
    <t>B. Bharathi</t>
  </si>
  <si>
    <t>Bharathi Balaji</t>
  </si>
  <si>
    <t>B. Sc, MBA</t>
  </si>
  <si>
    <t>Production Planning &amp; Merchandiser</t>
  </si>
  <si>
    <t>D/o Balaji, 76/23E1, Sathy Road, Annur Post, Annur,  Coimbatore-641 653.</t>
  </si>
  <si>
    <t>585869906857</t>
  </si>
  <si>
    <t>BT  - 23</t>
  </si>
  <si>
    <t>B. Aishwarya</t>
  </si>
  <si>
    <t>D/o. Balakrishnan, 5/323, Chennappachettipudur, Chennappachettipudur Post, Padhuvam Palli, Coimbatore- 641 659.</t>
  </si>
  <si>
    <t>322940102101</t>
  </si>
  <si>
    <t>BT  - 24</t>
  </si>
  <si>
    <t>S. Vinitha</t>
  </si>
  <si>
    <t>Vinitha Suresh</t>
  </si>
  <si>
    <t>Middle School-9th std</t>
  </si>
  <si>
    <t>W/o. Suresh, 10 , Chrishthuvar Colony, Sokkam Palayam, Annur, Coimbatore-641653.</t>
  </si>
  <si>
    <t>923500665694</t>
  </si>
  <si>
    <t>BT  - 25</t>
  </si>
  <si>
    <t>N. Anitha</t>
  </si>
  <si>
    <t>C/o. Nagaraj, 11 E Angappa Muthaliyar Colony, Near Telephone Exchange, Annur, Coimbatore-641 653.</t>
  </si>
  <si>
    <t>205091709472</t>
  </si>
  <si>
    <t>in leave</t>
  </si>
  <si>
    <t>BT  - 26</t>
  </si>
  <si>
    <t>G. Sumathi</t>
  </si>
  <si>
    <t>Sumathi</t>
  </si>
  <si>
    <t xml:space="preserve"> School-4th std</t>
  </si>
  <si>
    <t>W/o Gopal, 5/351, Karumatham Patti via, Chennappachettipudur, Padhuvam Palli, Coimbatore-641 659.</t>
  </si>
  <si>
    <t>734897901425</t>
  </si>
  <si>
    <t>BT  - 27</t>
  </si>
  <si>
    <t>M. Lakshmi</t>
  </si>
  <si>
    <t>Lakshmi Mani</t>
  </si>
  <si>
    <t xml:space="preserve"> School-5th std</t>
  </si>
  <si>
    <t>HouseKeeping</t>
  </si>
  <si>
    <t>W/o. Mani No. 16/9 Karuppana gounder Street, A. Kumarapalayam, Annur Post, Annur, Coimbatore-641 653.</t>
  </si>
  <si>
    <t>607397173786</t>
  </si>
  <si>
    <t>BT  - 28</t>
  </si>
  <si>
    <t>P. Babysalini</t>
  </si>
  <si>
    <t>Babysalini Palanisamy</t>
  </si>
  <si>
    <t>W/o. Palanisamy, 1/179, Karumatham patti Vali, Padhuvampalli Post, Padhuva Palli, Sulur TK, Coimbatore- 641 659.</t>
  </si>
  <si>
    <t>712522934127</t>
  </si>
  <si>
    <t>BT  - 29</t>
  </si>
  <si>
    <t>S. Vasuki</t>
  </si>
  <si>
    <t>R. Vasuki</t>
  </si>
  <si>
    <t>B.A History</t>
  </si>
  <si>
    <t>Material - Stores Incharge</t>
  </si>
  <si>
    <t>W/o. Shanmugavadivel, 5/337, Parakkadu, Chennappachettipudur Post, Chennappachetti pudur, Padhuvam Palli, Coimbatore-641 659.</t>
  </si>
  <si>
    <t>538026119501</t>
  </si>
  <si>
    <t>BT  - 30</t>
  </si>
  <si>
    <t>Rathipriya</t>
  </si>
  <si>
    <t>Rathipriya Muthusamy</t>
  </si>
  <si>
    <t>W/o. Sureshkumar, 10/16, Nayakkar Street, A Chettipalayam, Elathur, Chettipalayam , Erode-638 845.</t>
  </si>
  <si>
    <t>413867188386</t>
  </si>
  <si>
    <t>BT  - 31</t>
  </si>
  <si>
    <t>Priyanka</t>
  </si>
  <si>
    <t>Priyanka Kumar</t>
  </si>
  <si>
    <t>W/o. Praveen kumar, 5/323 A, Paarakadu Colony, Padhuvam Palli, Chennappachettipudur, Coimbatore-641 659.</t>
  </si>
  <si>
    <t>270220816530</t>
  </si>
  <si>
    <t>BT  - 32</t>
  </si>
  <si>
    <t>Shanmugasundaram</t>
  </si>
  <si>
    <t>S/o. Ravalagounder, 49/62, Vinayagar Kovil Street, Sokkam Palayam, Kakapalayam, Annur, Coimbatore-641 653.</t>
  </si>
  <si>
    <t>631652060161</t>
  </si>
  <si>
    <t>BT  - 33</t>
  </si>
  <si>
    <t>Riswana Banu</t>
  </si>
  <si>
    <t>8/162, Karumbalam, Karumbalam Post, Coonoor, Karumbalam, The Nilgiris-643 102.</t>
  </si>
  <si>
    <t>408658720887</t>
  </si>
  <si>
    <t>BT  - 34</t>
  </si>
  <si>
    <t>D. Neelamani</t>
  </si>
  <si>
    <t xml:space="preserve"> School-3rd std</t>
  </si>
  <si>
    <t>W/o. Devaraj, 5/352,  Chennappachettipudur, Karumatham Patti via, Padhuvam Palli, Palladam, Tiruppur- 641 659.</t>
  </si>
  <si>
    <t>618594976237</t>
  </si>
  <si>
    <t>BT  - 35</t>
  </si>
  <si>
    <t>P. Chithradevi</t>
  </si>
  <si>
    <t>W/o. Ramesh, 45/470, Thottiyanur, Pillaiappam palayam, Annur, Coimbatore-641 653.</t>
  </si>
  <si>
    <t>332921837234</t>
  </si>
  <si>
    <t>BT  - 36</t>
  </si>
  <si>
    <t>M. Karuppathal</t>
  </si>
  <si>
    <t>Karuppathal Maran</t>
  </si>
  <si>
    <t>W/o. Maran 5/109, Thottiyanur, Pillaiappam Palayam, Annur, Coimbatore-641 653.</t>
  </si>
  <si>
    <t>683497750274</t>
  </si>
  <si>
    <t>BT  - 37</t>
  </si>
  <si>
    <t>Sarathamani</t>
  </si>
  <si>
    <t>Sarathamani Duraisamy</t>
  </si>
  <si>
    <t>W/o. Duraisamy, 5/476, Thottiyanur, Pillaiappam palayam, Annur, Coimbatore-641 653.</t>
  </si>
  <si>
    <t>660763250786</t>
  </si>
  <si>
    <t>BT  - 38</t>
  </si>
  <si>
    <t>Soundarya</t>
  </si>
  <si>
    <t>Soundarya Duraisamy</t>
  </si>
  <si>
    <t>D/o. Duraisamy, 1/201 , Karumatha patti via, Padhuvam palli post, Sulur taluk, Coimbatore-641 659.</t>
  </si>
  <si>
    <t>618724133186</t>
  </si>
  <si>
    <t>BT  - 39</t>
  </si>
  <si>
    <t>M. Baruvatham</t>
  </si>
  <si>
    <t>Baruvatham Mayilsamy</t>
  </si>
  <si>
    <t>W/o. Mayilsamy, 6/178, M Rayar Palayam, Chennappachetti pudur post, Padhuvam palli, Coimbatore-641 659.</t>
  </si>
  <si>
    <t>566969461653</t>
  </si>
  <si>
    <t>BT  - 40</t>
  </si>
  <si>
    <t>A. Kalaivani</t>
  </si>
  <si>
    <t>Kalaivani Angamuthu</t>
  </si>
  <si>
    <t>C/o. Prakash, 5/336 Parakkadu, Chennappachetttipudur, Paduvam palli, Coimbatore-641 659.</t>
  </si>
  <si>
    <t>977902644148</t>
  </si>
  <si>
    <t>BT  - 41</t>
  </si>
  <si>
    <t>M. Vijayashanthi</t>
  </si>
  <si>
    <t>Vijayashanthi Arumugam</t>
  </si>
  <si>
    <t>W/o. Makesh, 5/240D , Ponnegoundanpudur, Masakavundanchetti palayam, Coimbatore-641107.</t>
  </si>
  <si>
    <t>558362776253</t>
  </si>
  <si>
    <t>BT  - 42</t>
  </si>
  <si>
    <t>T. Kowsalya</t>
  </si>
  <si>
    <t>W/o. Thiyagaraju, 277, Kiwi Cotton Mill, Padhuvam Palli, Karumatham Patti, Coimbatore- 641 659.</t>
  </si>
  <si>
    <t>275004505831</t>
  </si>
  <si>
    <t>BT  - 43</t>
  </si>
  <si>
    <t>P. Kavin</t>
  </si>
  <si>
    <t>Kavin</t>
  </si>
  <si>
    <t>Loading</t>
  </si>
  <si>
    <t>S/o. Palanisamy, 2-182 , Nariampallipudur, Ramanathapuram, Avinashi, Tiruppur-641 670.</t>
  </si>
  <si>
    <t>745910084115</t>
  </si>
  <si>
    <t>BT  - 44</t>
  </si>
  <si>
    <t>R. Gomathi</t>
  </si>
  <si>
    <t>Gomathi Ramasamy</t>
  </si>
  <si>
    <t>D/o. Ramasamy, 5/274, Parakadu, Chennappachettipudur Post, Padhuvam palli, Coimbatore-641 659.</t>
  </si>
  <si>
    <t>589331703563</t>
  </si>
  <si>
    <t>BT  - 45</t>
  </si>
  <si>
    <t>M. Vanitha</t>
  </si>
  <si>
    <t>W/o. Murugesh, 1/202 Karumatham patti via, Padhuvam Palli post, Padhuvam palli, Sulur TK, Coimbatore-641 659.</t>
  </si>
  <si>
    <t>742347240432</t>
  </si>
  <si>
    <t>BT  - 46</t>
  </si>
  <si>
    <t>C. Chandrajith</t>
  </si>
  <si>
    <t>S/o. Chinraj, 1/58, Arijana Colony, Panayampalli, Sathyamangalam, Erode-638 459.</t>
  </si>
  <si>
    <t>730169937995</t>
  </si>
  <si>
    <t>BT  - 47</t>
  </si>
  <si>
    <t>Mathivanan</t>
  </si>
  <si>
    <t>O-</t>
  </si>
  <si>
    <t>S.o. Marichamy, 2/290, Nariyamapallipudur, Ramanathapuram, Avinashi, Tiruppur-641 670.</t>
  </si>
  <si>
    <t>329590849940</t>
  </si>
  <si>
    <t>BT  - 48</t>
  </si>
  <si>
    <t>V. Latha</t>
  </si>
  <si>
    <t>Latha Chandran</t>
  </si>
  <si>
    <t>C/o. Venkatesh, 5/39-3, Pallipalayam, Pacham Palayam, Anthiyur, Erode-638 314.</t>
  </si>
  <si>
    <t>718699686822</t>
  </si>
  <si>
    <t>BT  - 49</t>
  </si>
  <si>
    <t>G. Rajalakshmi</t>
  </si>
  <si>
    <t>6/103, M.Rayarpalayam, Padhuvam palli, Coimbatore-641 659.</t>
  </si>
  <si>
    <t>564598992912</t>
  </si>
  <si>
    <t>BT  - 50</t>
  </si>
  <si>
    <t>B. Soundarya</t>
  </si>
  <si>
    <t>Soundarya Balakrishnan</t>
  </si>
  <si>
    <t>783709398939</t>
  </si>
  <si>
    <t>BT  - 51</t>
  </si>
  <si>
    <t>Valliammal</t>
  </si>
  <si>
    <t>Valliammal Baskaran</t>
  </si>
  <si>
    <t>Middle School-7th std</t>
  </si>
  <si>
    <t>W/o. Baskaran, 11-8, North Veethi, Kumarapalayam, Annur, Coimbatore-641 653.</t>
  </si>
  <si>
    <t>810756544357</t>
  </si>
  <si>
    <t>BT  - 52</t>
  </si>
  <si>
    <t>Maheshwari</t>
  </si>
  <si>
    <t>Maheshwari Suresh</t>
  </si>
  <si>
    <t>Middle School-6th std</t>
  </si>
  <si>
    <t>W/o. Suresh, 1/197, Karumatham Patti  Via, Padhuvam Palli Post, Sulur via, Coimbatore-641 659.</t>
  </si>
  <si>
    <t>990949638530</t>
  </si>
  <si>
    <t>BT  - 53</t>
  </si>
  <si>
    <t>D. Jayaprakash</t>
  </si>
  <si>
    <t>B.Sc Physics</t>
  </si>
  <si>
    <t>478253131719</t>
  </si>
  <si>
    <t>BT  - 54</t>
  </si>
  <si>
    <t>S. Pavithra</t>
  </si>
  <si>
    <t>Pavithra Sivaraj</t>
  </si>
  <si>
    <t>Material-Despatch &amp; Receipt</t>
  </si>
  <si>
    <t>W/o Jeevaprakash, 1/154, Boyar colony, Padhuvam Palli post, Karumatham patti via, Coimbatore-641 659.</t>
  </si>
  <si>
    <t>268100281843</t>
  </si>
  <si>
    <t>BT  - 55</t>
  </si>
  <si>
    <t>R. Rajeshwari</t>
  </si>
  <si>
    <t>Rajeshwari Ramasamy</t>
  </si>
  <si>
    <t>W/o. Ramasamy, 1/152, A. Karumatham patti via, Padhuvam Palli, Coimbatore- 641 659.</t>
  </si>
  <si>
    <t>953829592448</t>
  </si>
  <si>
    <t>BT  - 56</t>
  </si>
  <si>
    <t>S. Kowsalya</t>
  </si>
  <si>
    <t>Kowsalya Selvaraj</t>
  </si>
  <si>
    <t>B.Com, MBA</t>
  </si>
  <si>
    <t>HR &amp; Accounts</t>
  </si>
  <si>
    <t>D/o. Selvaraj, 1/154, Karumatham patti via, Padhuvam palli Post, Padhuvam palli, Coimbatore-641 659.</t>
  </si>
  <si>
    <t>709393410638</t>
  </si>
  <si>
    <t>BT  - 57</t>
  </si>
  <si>
    <t>R. Kalaivani</t>
  </si>
  <si>
    <t>Kalaivani Ravi</t>
  </si>
  <si>
    <t>B.Sc Biotech</t>
  </si>
  <si>
    <t>C/o. Ranganathan Avinashiyappan, 1/209, Karumatham patti via, Padhuvam palli post, Padhuvam palli, Coimbatore- 641 659.</t>
  </si>
  <si>
    <t>525074919299</t>
  </si>
  <si>
    <t>STAFF NAME LIST</t>
  </si>
  <si>
    <t>S.no</t>
  </si>
  <si>
    <t>K. VASANTHAMANI</t>
  </si>
  <si>
    <t>FACTORY INCHARGE</t>
  </si>
  <si>
    <t>K. DIVYA</t>
  </si>
  <si>
    <t>MATERIAL PLANNING &amp; SUPPLIER OUTSOURCING</t>
  </si>
  <si>
    <t>K. GOKILA</t>
  </si>
  <si>
    <t>PRODUCTION INCHARGE</t>
  </si>
  <si>
    <t>N. JAYANTHI</t>
  </si>
  <si>
    <t>CHECKING &amp; PACKING INCHARGE</t>
  </si>
  <si>
    <t>B. BHARATHI</t>
  </si>
  <si>
    <t>PRODUCTION PLANNING &amp; MERCHANDISER</t>
  </si>
  <si>
    <t>N. KOWSALYA</t>
  </si>
  <si>
    <t>MATERIAL - DESPATCH &amp; RECEIPT</t>
  </si>
  <si>
    <t>S. KOWSALYA</t>
  </si>
  <si>
    <t>H.R &amp; ACCOUNTS</t>
  </si>
  <si>
    <t>S. VASUKI</t>
  </si>
  <si>
    <t>MATERIAL -  STORES INCHARGE</t>
  </si>
  <si>
    <t>S. PAVITHRA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</si>
</sst>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"/>
  </numFmts>
  <fonts count="31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2"/>
      <color theme="1"/>
      <name val="Cambria"/>
      <charset val="134"/>
    </font>
    <font>
      <sz val="12"/>
      <name val="Cambria"/>
      <charset val="134"/>
    </font>
    <font>
      <sz val="12"/>
      <color rgb="FF00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8" fillId="0" borderId="5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6" fillId="3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3" borderId="1" xfId="49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80" fontId="6" fillId="2" borderId="9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80" fontId="6" fillId="3" borderId="9" xfId="0" applyNumberFormat="1" applyFont="1" applyFill="1" applyBorder="1" applyAlignment="1">
      <alignment horizontal="center" vertical="center" wrapText="1"/>
    </xf>
    <xf numFmtId="180" fontId="6" fillId="3" borderId="2" xfId="0" applyNumberFormat="1" applyFont="1" applyFill="1" applyBorder="1" applyAlignment="1">
      <alignment horizontal="center" vertical="center"/>
    </xf>
    <xf numFmtId="180" fontId="6" fillId="3" borderId="10" xfId="0" applyNumberFormat="1" applyFont="1" applyFill="1" applyBorder="1" applyAlignment="1">
      <alignment horizontal="center" vertical="center" wrapText="1"/>
    </xf>
    <xf numFmtId="180" fontId="6" fillId="3" borderId="2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 quotePrefix="1">
      <alignment horizontal="center" vertical="center" wrapText="1"/>
    </xf>
    <xf numFmtId="0" fontId="6" fillId="2" borderId="1" xfId="0" applyFont="1" applyFill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"/>
  <sheetViews>
    <sheetView tabSelected="1" zoomScaleSheetLayoutView="60" topLeftCell="A55" workbookViewId="0">
      <selection activeCell="F57" sqref="F57"/>
    </sheetView>
  </sheetViews>
  <sheetFormatPr defaultColWidth="8.88571428571429" defaultRowHeight="15.75"/>
  <cols>
    <col min="1" max="1" width="8.71428571428571" style="6" customWidth="1"/>
    <col min="2" max="2" width="18.7142857142857" style="6" customWidth="1"/>
    <col min="3" max="3" width="25.4285714285714" style="10" customWidth="1"/>
    <col min="4" max="4" width="33" style="10" customWidth="1"/>
    <col min="5" max="6" width="15.2857142857143" style="6" customWidth="1"/>
    <col min="7" max="7" width="16.8571428571429" style="6" customWidth="1"/>
    <col min="8" max="8" width="19.4285714285714" style="6" customWidth="1"/>
    <col min="9" max="9" width="17.4285714285714" style="6" customWidth="1"/>
    <col min="10" max="10" width="38.8571428571429" style="6" customWidth="1"/>
    <col min="11" max="11" width="18.7142857142857" style="6" customWidth="1"/>
    <col min="12" max="12" width="24.8571428571429" style="6" customWidth="1"/>
    <col min="13" max="13" width="18.1428571428571" style="6" customWidth="1"/>
    <col min="14" max="14" width="19.2857142857143" style="9" customWidth="1"/>
    <col min="15" max="15" width="25.2857142857143" style="9" customWidth="1"/>
    <col min="16" max="16" width="67.8571428571429" style="11" customWidth="1"/>
    <col min="17" max="17" width="25.8571428571429" style="6" customWidth="1"/>
    <col min="18" max="29" width="9.14285714285714" style="6"/>
    <col min="30" max="16384" width="8.88571428571429" style="6"/>
  </cols>
  <sheetData>
    <row r="1" s="6" customFormat="1" ht="37" customHeight="1" spans="1:29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</row>
    <row r="2" s="6" customFormat="1" ht="32" customHeight="1" spans="1:29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8"/>
      <c r="M2" s="18"/>
      <c r="N2" s="18"/>
      <c r="O2" s="18"/>
      <c r="P2" s="18"/>
      <c r="Q2" s="1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="7" customFormat="1" ht="47.25" spans="1:29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19" t="s">
        <v>13</v>
      </c>
      <c r="M3" s="19" t="s">
        <v>14</v>
      </c>
      <c r="N3" s="19" t="s">
        <v>15</v>
      </c>
      <c r="O3" s="19" t="s">
        <v>16</v>
      </c>
      <c r="P3" s="19" t="s">
        <v>17</v>
      </c>
      <c r="Q3" s="19" t="s">
        <v>18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="6" customFormat="1" ht="71" customHeight="1" spans="1:29">
      <c r="A4" s="22">
        <v>1</v>
      </c>
      <c r="B4" s="23" t="s">
        <v>19</v>
      </c>
      <c r="C4" s="24" t="s">
        <v>20</v>
      </c>
      <c r="D4" s="24" t="s">
        <v>21</v>
      </c>
      <c r="E4" s="23" t="s">
        <v>22</v>
      </c>
      <c r="F4" s="22" t="s">
        <v>23</v>
      </c>
      <c r="G4" s="25">
        <v>30301</v>
      </c>
      <c r="H4" s="26" t="str">
        <f ca="1" t="shared" ref="H4:H60" si="0">DATEDIF(G4,TODAY(),"Y")&amp;" years, "&amp;DATEDIF(G4,TODAY(),"YM")&amp;" months"</f>
        <v>43 years, 6 months</v>
      </c>
      <c r="I4" s="27">
        <v>44105</v>
      </c>
      <c r="J4" s="28" t="s">
        <v>24</v>
      </c>
      <c r="K4" s="29" t="s">
        <v>25</v>
      </c>
      <c r="L4" s="30" t="s">
        <v>26</v>
      </c>
      <c r="M4" s="31" t="str">
        <f ca="1" t="shared" ref="M4:M60" si="1">DATEDIF(I4,TODAY(),"Y")&amp;" Years, "&amp;DATEDIF(I4,TODAY(),"YM")&amp;" Months"</f>
        <v>5 Years, 8 Months</v>
      </c>
      <c r="N4" s="22">
        <v>9994456051</v>
      </c>
      <c r="O4" s="22">
        <v>9688508651</v>
      </c>
      <c r="P4" s="32" t="s">
        <v>27</v>
      </c>
      <c r="Q4" s="60" t="s">
        <v>28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="6" customFormat="1" ht="71" customHeight="1" spans="1:29">
      <c r="A5" s="22">
        <v>2</v>
      </c>
      <c r="B5" s="23" t="s">
        <v>29</v>
      </c>
      <c r="C5" s="24" t="s">
        <v>30</v>
      </c>
      <c r="D5" s="24" t="s">
        <v>30</v>
      </c>
      <c r="E5" s="23" t="s">
        <v>22</v>
      </c>
      <c r="F5" s="22" t="s">
        <v>23</v>
      </c>
      <c r="G5" s="25">
        <v>33042</v>
      </c>
      <c r="H5" s="26" t="str">
        <f ca="1" t="shared" si="0"/>
        <v>36 years, 0 months</v>
      </c>
      <c r="I5" s="27">
        <v>44125</v>
      </c>
      <c r="J5" s="30" t="s">
        <v>31</v>
      </c>
      <c r="K5" s="33" t="s">
        <v>32</v>
      </c>
      <c r="L5" s="22"/>
      <c r="M5" s="31" t="str">
        <f ca="1" t="shared" si="1"/>
        <v>5 Years, 8 Months</v>
      </c>
      <c r="N5" s="22">
        <v>6380250389</v>
      </c>
      <c r="O5" s="22">
        <v>9524684955</v>
      </c>
      <c r="P5" s="32" t="s">
        <v>33</v>
      </c>
      <c r="Q5" s="34">
        <v>343996618235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="6" customFormat="1" ht="71" customHeight="1" spans="1:29">
      <c r="A6" s="22">
        <v>3</v>
      </c>
      <c r="B6" s="23" t="s">
        <v>34</v>
      </c>
      <c r="C6" s="24" t="s">
        <v>35</v>
      </c>
      <c r="D6" s="24" t="s">
        <v>36</v>
      </c>
      <c r="E6" s="23" t="s">
        <v>22</v>
      </c>
      <c r="F6" s="22" t="s">
        <v>37</v>
      </c>
      <c r="G6" s="25">
        <v>32299</v>
      </c>
      <c r="H6" s="26" t="str">
        <f ca="1" t="shared" si="0"/>
        <v>38 years, 0 months</v>
      </c>
      <c r="I6" s="27">
        <v>44153</v>
      </c>
      <c r="J6" s="28" t="s">
        <v>38</v>
      </c>
      <c r="K6" s="22" t="s">
        <v>39</v>
      </c>
      <c r="L6" s="22"/>
      <c r="M6" s="31" t="str">
        <f ca="1" t="shared" si="1"/>
        <v>5 Years, 7 Months</v>
      </c>
      <c r="N6" s="22">
        <v>9042834099</v>
      </c>
      <c r="O6" s="22">
        <v>8526016640</v>
      </c>
      <c r="P6" s="32" t="s">
        <v>40</v>
      </c>
      <c r="Q6" s="60" t="s">
        <v>41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="6" customFormat="1" ht="71" customHeight="1" spans="1:29">
      <c r="A7" s="22">
        <v>4</v>
      </c>
      <c r="B7" s="23" t="s">
        <v>42</v>
      </c>
      <c r="C7" s="24" t="s">
        <v>43</v>
      </c>
      <c r="D7" s="24" t="s">
        <v>44</v>
      </c>
      <c r="E7" s="23" t="s">
        <v>22</v>
      </c>
      <c r="F7" s="22" t="s">
        <v>37</v>
      </c>
      <c r="G7" s="25">
        <v>31437</v>
      </c>
      <c r="H7" s="26" t="str">
        <f ca="1" t="shared" si="0"/>
        <v>40 years, 5 months</v>
      </c>
      <c r="I7" s="27">
        <v>44242</v>
      </c>
      <c r="J7" s="28" t="s">
        <v>38</v>
      </c>
      <c r="K7" s="22" t="s">
        <v>45</v>
      </c>
      <c r="L7" s="22"/>
      <c r="M7" s="31" t="str">
        <f ca="1" t="shared" si="1"/>
        <v>5 Years, 4 Months</v>
      </c>
      <c r="N7" s="22">
        <v>9003338524</v>
      </c>
      <c r="O7" s="35">
        <v>9524740388</v>
      </c>
      <c r="P7" s="32" t="s">
        <v>46</v>
      </c>
      <c r="Q7" s="60" t="s">
        <v>47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="6" customFormat="1" ht="71" customHeight="1" spans="1:29">
      <c r="A8" s="22">
        <v>5</v>
      </c>
      <c r="B8" s="23" t="s">
        <v>48</v>
      </c>
      <c r="C8" s="24" t="s">
        <v>49</v>
      </c>
      <c r="D8" s="24" t="s">
        <v>50</v>
      </c>
      <c r="E8" s="23" t="s">
        <v>22</v>
      </c>
      <c r="F8" s="22" t="s">
        <v>37</v>
      </c>
      <c r="G8" s="25">
        <v>32244</v>
      </c>
      <c r="H8" s="26" t="str">
        <f ca="1" t="shared" si="0"/>
        <v>38 years, 2 months</v>
      </c>
      <c r="I8" s="27">
        <v>44391</v>
      </c>
      <c r="J8" s="28" t="s">
        <v>38</v>
      </c>
      <c r="K8" s="22" t="s">
        <v>25</v>
      </c>
      <c r="L8" s="22" t="s">
        <v>51</v>
      </c>
      <c r="M8" s="31" t="str">
        <f ca="1" t="shared" si="1"/>
        <v>4 Years, 11 Months</v>
      </c>
      <c r="N8" s="36">
        <v>9976556014</v>
      </c>
      <c r="O8" s="37">
        <v>8220979900</v>
      </c>
      <c r="P8" s="38" t="s">
        <v>52</v>
      </c>
      <c r="Q8" s="60" t="s">
        <v>53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="6" customFormat="1" ht="71" customHeight="1" spans="1:29">
      <c r="A9" s="22">
        <v>6</v>
      </c>
      <c r="B9" s="23" t="s">
        <v>54</v>
      </c>
      <c r="C9" s="24" t="s">
        <v>55</v>
      </c>
      <c r="D9" s="24" t="s">
        <v>56</v>
      </c>
      <c r="E9" s="23" t="s">
        <v>22</v>
      </c>
      <c r="F9" s="22" t="s">
        <v>57</v>
      </c>
      <c r="G9" s="25">
        <v>36909</v>
      </c>
      <c r="H9" s="26" t="str">
        <f ca="1" t="shared" si="0"/>
        <v>25 years, 5 months</v>
      </c>
      <c r="I9" s="27">
        <v>44421</v>
      </c>
      <c r="J9" s="30" t="s">
        <v>58</v>
      </c>
      <c r="K9" s="22" t="s">
        <v>25</v>
      </c>
      <c r="L9" s="22" t="s">
        <v>59</v>
      </c>
      <c r="M9" s="31" t="str">
        <f ca="1" t="shared" si="1"/>
        <v>4 Years, 10 Months</v>
      </c>
      <c r="N9" s="39">
        <v>9677630126</v>
      </c>
      <c r="O9" s="22">
        <v>9894948636</v>
      </c>
      <c r="P9" s="40" t="s">
        <v>60</v>
      </c>
      <c r="Q9" s="60" t="s">
        <v>61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="6" customFormat="1" ht="71" customHeight="1" spans="1:29">
      <c r="A10" s="22">
        <v>7</v>
      </c>
      <c r="B10" s="23" t="s">
        <v>62</v>
      </c>
      <c r="C10" s="24" t="s">
        <v>63</v>
      </c>
      <c r="D10" s="24" t="s">
        <v>64</v>
      </c>
      <c r="E10" s="23" t="s">
        <v>65</v>
      </c>
      <c r="F10" s="22" t="s">
        <v>23</v>
      </c>
      <c r="G10" s="25">
        <v>35607</v>
      </c>
      <c r="H10" s="26" t="str">
        <f ca="1" t="shared" si="0"/>
        <v>29 years, 0 months</v>
      </c>
      <c r="I10" s="27">
        <v>44832</v>
      </c>
      <c r="J10" s="22" t="s">
        <v>38</v>
      </c>
      <c r="K10" s="39" t="s">
        <v>39</v>
      </c>
      <c r="L10" s="22"/>
      <c r="M10" s="31" t="str">
        <f ca="1" t="shared" si="1"/>
        <v>3 Years, 9 Months</v>
      </c>
      <c r="N10" s="22">
        <v>9952424677</v>
      </c>
      <c r="O10" s="22">
        <v>9003719386</v>
      </c>
      <c r="P10" s="32" t="s">
        <v>66</v>
      </c>
      <c r="Q10" s="60" t="s">
        <v>67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="6" customFormat="1" ht="71" customHeight="1" spans="1:29">
      <c r="A11" s="22">
        <v>8</v>
      </c>
      <c r="B11" s="23" t="s">
        <v>68</v>
      </c>
      <c r="C11" s="24" t="s">
        <v>69</v>
      </c>
      <c r="D11" s="24" t="s">
        <v>69</v>
      </c>
      <c r="E11" s="23" t="s">
        <v>22</v>
      </c>
      <c r="F11" s="22" t="s">
        <v>70</v>
      </c>
      <c r="G11" s="25">
        <v>26324</v>
      </c>
      <c r="H11" s="26" t="str">
        <f ca="1" t="shared" si="0"/>
        <v>54 years, 5 months</v>
      </c>
      <c r="I11" s="27">
        <v>44961</v>
      </c>
      <c r="J11" s="28" t="s">
        <v>71</v>
      </c>
      <c r="K11" s="22" t="s">
        <v>32</v>
      </c>
      <c r="L11" s="22"/>
      <c r="M11" s="31" t="str">
        <f ca="1" t="shared" si="1"/>
        <v>3 Years, 4 Months</v>
      </c>
      <c r="N11" s="22">
        <v>9894743099</v>
      </c>
      <c r="O11" s="22">
        <v>9894743099</v>
      </c>
      <c r="P11" s="32" t="s">
        <v>72</v>
      </c>
      <c r="Q11" s="60" t="s">
        <v>73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="6" customFormat="1" ht="71" customHeight="1" spans="1:29">
      <c r="A12" s="22">
        <v>9</v>
      </c>
      <c r="B12" s="23" t="s">
        <v>74</v>
      </c>
      <c r="C12" s="24" t="s">
        <v>75</v>
      </c>
      <c r="D12" s="24" t="s">
        <v>76</v>
      </c>
      <c r="E12" s="23" t="s">
        <v>22</v>
      </c>
      <c r="F12" s="22" t="s">
        <v>57</v>
      </c>
      <c r="G12" s="25">
        <v>30947</v>
      </c>
      <c r="H12" s="26" t="str">
        <f ca="1" t="shared" si="0"/>
        <v>41 years, 9 months</v>
      </c>
      <c r="I12" s="27">
        <v>45111</v>
      </c>
      <c r="J12" s="30" t="s">
        <v>77</v>
      </c>
      <c r="K12" s="39" t="s">
        <v>45</v>
      </c>
      <c r="L12" s="22"/>
      <c r="M12" s="31" t="str">
        <f ca="1" t="shared" si="1"/>
        <v>2 Years, 11 Months</v>
      </c>
      <c r="N12" s="22">
        <v>9715650004</v>
      </c>
      <c r="O12" s="22">
        <v>9715650003</v>
      </c>
      <c r="P12" s="32" t="s">
        <v>78</v>
      </c>
      <c r="Q12" s="60" t="s">
        <v>79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="6" customFormat="1" ht="71" customHeight="1" spans="1:29">
      <c r="A13" s="22">
        <v>10</v>
      </c>
      <c r="B13" s="23" t="s">
        <v>80</v>
      </c>
      <c r="C13" s="24" t="s">
        <v>81</v>
      </c>
      <c r="D13" s="24" t="s">
        <v>82</v>
      </c>
      <c r="E13" s="23" t="s">
        <v>22</v>
      </c>
      <c r="F13" s="22" t="s">
        <v>37</v>
      </c>
      <c r="G13" s="25">
        <v>34828</v>
      </c>
      <c r="H13" s="26" t="str">
        <f ca="1" t="shared" si="0"/>
        <v>31 years, 1 months</v>
      </c>
      <c r="I13" s="27">
        <v>45188</v>
      </c>
      <c r="J13" s="30" t="s">
        <v>83</v>
      </c>
      <c r="K13" s="22" t="s">
        <v>45</v>
      </c>
      <c r="L13" s="22"/>
      <c r="M13" s="31" t="str">
        <f ca="1" t="shared" si="1"/>
        <v>2 Years, 9 Months</v>
      </c>
      <c r="N13" s="22">
        <v>9894053668</v>
      </c>
      <c r="O13" s="22">
        <v>9894053668</v>
      </c>
      <c r="P13" s="32" t="s">
        <v>84</v>
      </c>
      <c r="Q13" s="60" t="s">
        <v>85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="6" customFormat="1" ht="71" customHeight="1" spans="1:29">
      <c r="A14" s="22">
        <v>11</v>
      </c>
      <c r="B14" s="23" t="s">
        <v>86</v>
      </c>
      <c r="C14" s="24" t="s">
        <v>87</v>
      </c>
      <c r="D14" s="24" t="s">
        <v>87</v>
      </c>
      <c r="E14" s="23" t="s">
        <v>22</v>
      </c>
      <c r="F14" s="22" t="s">
        <v>70</v>
      </c>
      <c r="G14" s="25">
        <v>35615</v>
      </c>
      <c r="H14" s="26" t="str">
        <f ca="1" t="shared" si="0"/>
        <v>28 years, 11 months</v>
      </c>
      <c r="I14" s="27">
        <v>45285</v>
      </c>
      <c r="J14" s="30" t="s">
        <v>88</v>
      </c>
      <c r="K14" s="22" t="s">
        <v>45</v>
      </c>
      <c r="L14" s="22"/>
      <c r="M14" s="31" t="str">
        <f ca="1" t="shared" si="1"/>
        <v>2 Years, 6 Months</v>
      </c>
      <c r="N14" s="39">
        <v>9659393408</v>
      </c>
      <c r="O14" s="22">
        <v>9360794536</v>
      </c>
      <c r="P14" s="32" t="s">
        <v>89</v>
      </c>
      <c r="Q14" s="60" t="s">
        <v>90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="6" customFormat="1" ht="71" customHeight="1" spans="1:29">
      <c r="A15" s="22">
        <v>12</v>
      </c>
      <c r="B15" s="23" t="s">
        <v>91</v>
      </c>
      <c r="C15" s="24" t="s">
        <v>92</v>
      </c>
      <c r="D15" s="24" t="s">
        <v>93</v>
      </c>
      <c r="E15" s="23" t="s">
        <v>22</v>
      </c>
      <c r="F15" s="22" t="s">
        <v>37</v>
      </c>
      <c r="G15" s="25">
        <v>35879</v>
      </c>
      <c r="H15" s="26" t="str">
        <f ca="1" t="shared" si="0"/>
        <v>28 years, 3 months</v>
      </c>
      <c r="I15" s="27">
        <v>45650</v>
      </c>
      <c r="J15" s="41" t="s">
        <v>83</v>
      </c>
      <c r="K15" s="22" t="s">
        <v>25</v>
      </c>
      <c r="L15" s="22" t="s">
        <v>94</v>
      </c>
      <c r="M15" s="31" t="str">
        <f ca="1" t="shared" si="1"/>
        <v>1 Years, 6 Months</v>
      </c>
      <c r="N15" s="22">
        <v>7397347524</v>
      </c>
      <c r="O15" s="22">
        <v>9865481139</v>
      </c>
      <c r="P15" s="9" t="s">
        <v>95</v>
      </c>
      <c r="Q15" s="60" t="s">
        <v>96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="6" customFormat="1" ht="71" customHeight="1" spans="1:29">
      <c r="A16" s="22">
        <v>13</v>
      </c>
      <c r="B16" s="23" t="s">
        <v>97</v>
      </c>
      <c r="C16" s="24" t="s">
        <v>98</v>
      </c>
      <c r="D16" s="24" t="s">
        <v>99</v>
      </c>
      <c r="E16" s="23" t="s">
        <v>22</v>
      </c>
      <c r="F16" s="22" t="s">
        <v>37</v>
      </c>
      <c r="G16" s="25">
        <v>33332</v>
      </c>
      <c r="H16" s="26" t="str">
        <f ca="1" t="shared" si="0"/>
        <v>35 years, 2 months</v>
      </c>
      <c r="I16" s="27">
        <v>45443</v>
      </c>
      <c r="J16" s="30" t="s">
        <v>100</v>
      </c>
      <c r="K16" s="22" t="s">
        <v>45</v>
      </c>
      <c r="L16" s="22"/>
      <c r="M16" s="31" t="str">
        <f ca="1" t="shared" si="1"/>
        <v>2 Years, 0 Months</v>
      </c>
      <c r="N16" s="39">
        <v>9364474783</v>
      </c>
      <c r="O16" s="35">
        <v>9787488627</v>
      </c>
      <c r="P16" s="32" t="s">
        <v>101</v>
      </c>
      <c r="Q16" s="60" t="s">
        <v>102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="6" customFormat="1" ht="71" customHeight="1" spans="1:29">
      <c r="A17" s="22">
        <v>14</v>
      </c>
      <c r="B17" s="23" t="s">
        <v>103</v>
      </c>
      <c r="C17" s="24" t="s">
        <v>104</v>
      </c>
      <c r="D17" s="24" t="s">
        <v>105</v>
      </c>
      <c r="E17" s="23" t="s">
        <v>22</v>
      </c>
      <c r="F17" s="22" t="s">
        <v>23</v>
      </c>
      <c r="G17" s="25">
        <v>32025</v>
      </c>
      <c r="H17" s="26" t="str">
        <f ca="1" t="shared" si="0"/>
        <v>38 years, 9 months</v>
      </c>
      <c r="I17" s="27">
        <v>45481</v>
      </c>
      <c r="J17" s="30" t="s">
        <v>100</v>
      </c>
      <c r="K17" s="22" t="s">
        <v>45</v>
      </c>
      <c r="L17" s="22"/>
      <c r="M17" s="31" t="str">
        <f ca="1" t="shared" si="1"/>
        <v>1 Years, 11 Months</v>
      </c>
      <c r="N17" s="37">
        <v>9789771017</v>
      </c>
      <c r="O17" s="22">
        <v>9894969983</v>
      </c>
      <c r="P17" s="38" t="s">
        <v>106</v>
      </c>
      <c r="Q17" s="60" t="s">
        <v>107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="6" customFormat="1" ht="71" customHeight="1" spans="1:29">
      <c r="A18" s="22">
        <v>15</v>
      </c>
      <c r="B18" s="23" t="s">
        <v>108</v>
      </c>
      <c r="C18" s="24" t="s">
        <v>109</v>
      </c>
      <c r="D18" s="24" t="s">
        <v>110</v>
      </c>
      <c r="E18" s="23" t="s">
        <v>22</v>
      </c>
      <c r="F18" s="22" t="s">
        <v>37</v>
      </c>
      <c r="G18" s="25">
        <v>30368</v>
      </c>
      <c r="H18" s="26" t="str">
        <f ca="1" t="shared" si="0"/>
        <v>43 years, 4 months</v>
      </c>
      <c r="I18" s="27">
        <v>45476</v>
      </c>
      <c r="J18" s="30" t="s">
        <v>111</v>
      </c>
      <c r="K18" s="22" t="s">
        <v>45</v>
      </c>
      <c r="L18" s="22"/>
      <c r="M18" s="31" t="str">
        <f ca="1" t="shared" si="1"/>
        <v>1 Years, 11 Months</v>
      </c>
      <c r="N18" s="22">
        <v>8695509333</v>
      </c>
      <c r="O18" s="42">
        <v>9688384846</v>
      </c>
      <c r="P18" s="32" t="s">
        <v>112</v>
      </c>
      <c r="Q18" s="60" t="s">
        <v>113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="6" customFormat="1" ht="71" customHeight="1" spans="1:29">
      <c r="A19" s="22">
        <v>16</v>
      </c>
      <c r="B19" s="23" t="s">
        <v>114</v>
      </c>
      <c r="C19" s="24" t="s">
        <v>115</v>
      </c>
      <c r="D19" s="24" t="s">
        <v>116</v>
      </c>
      <c r="E19" s="23" t="s">
        <v>22</v>
      </c>
      <c r="F19" s="22" t="s">
        <v>70</v>
      </c>
      <c r="G19" s="25">
        <v>30752</v>
      </c>
      <c r="H19" s="26" t="str">
        <f ca="1" t="shared" si="0"/>
        <v>42 years, 3 months</v>
      </c>
      <c r="I19" s="27">
        <v>45553</v>
      </c>
      <c r="J19" s="41" t="s">
        <v>83</v>
      </c>
      <c r="K19" s="22" t="s">
        <v>45</v>
      </c>
      <c r="L19" s="22"/>
      <c r="M19" s="31" t="str">
        <f ca="1" t="shared" si="1"/>
        <v>1 Years, 9 Months</v>
      </c>
      <c r="N19" s="36">
        <v>9865567581</v>
      </c>
      <c r="O19" s="43">
        <v>9788576845</v>
      </c>
      <c r="P19" s="44" t="s">
        <v>117</v>
      </c>
      <c r="Q19" s="60" t="s">
        <v>118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="6" customFormat="1" ht="71" customHeight="1" spans="1:29">
      <c r="A20" s="22">
        <v>17</v>
      </c>
      <c r="B20" s="23" t="s">
        <v>119</v>
      </c>
      <c r="C20" s="24" t="s">
        <v>120</v>
      </c>
      <c r="D20" s="24" t="s">
        <v>121</v>
      </c>
      <c r="E20" s="23" t="s">
        <v>22</v>
      </c>
      <c r="F20" s="22" t="s">
        <v>57</v>
      </c>
      <c r="G20" s="25">
        <v>31830</v>
      </c>
      <c r="H20" s="26" t="str">
        <f ca="1" t="shared" si="0"/>
        <v>39 years, 4 months</v>
      </c>
      <c r="I20" s="27">
        <v>45553</v>
      </c>
      <c r="J20" s="30" t="s">
        <v>100</v>
      </c>
      <c r="K20" s="22" t="s">
        <v>45</v>
      </c>
      <c r="L20" s="22"/>
      <c r="M20" s="31" t="str">
        <f ca="1" t="shared" si="1"/>
        <v>1 Years, 9 Months</v>
      </c>
      <c r="N20" s="39">
        <v>9095977313</v>
      </c>
      <c r="O20" s="36">
        <v>9942056392</v>
      </c>
      <c r="P20" s="44" t="s">
        <v>122</v>
      </c>
      <c r="Q20" s="60" t="s">
        <v>123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="6" customFormat="1" ht="71" customHeight="1" spans="1:29">
      <c r="A21" s="22">
        <v>18</v>
      </c>
      <c r="B21" s="23" t="s">
        <v>124</v>
      </c>
      <c r="C21" s="24" t="s">
        <v>125</v>
      </c>
      <c r="D21" s="24" t="s">
        <v>126</v>
      </c>
      <c r="E21" s="23" t="s">
        <v>22</v>
      </c>
      <c r="F21" s="22" t="s">
        <v>70</v>
      </c>
      <c r="G21" s="25">
        <v>27474</v>
      </c>
      <c r="H21" s="26" t="str">
        <f ca="1" t="shared" si="0"/>
        <v>51 years, 3 months</v>
      </c>
      <c r="I21" s="27">
        <v>45645</v>
      </c>
      <c r="J21" s="30" t="s">
        <v>127</v>
      </c>
      <c r="K21" s="22" t="s">
        <v>32</v>
      </c>
      <c r="L21" s="22"/>
      <c r="M21" s="31" t="str">
        <f ca="1" t="shared" si="1"/>
        <v>1 Years, 6 Months</v>
      </c>
      <c r="N21" s="36">
        <v>9698935994</v>
      </c>
      <c r="O21" s="36">
        <v>9698935994</v>
      </c>
      <c r="P21" s="32" t="s">
        <v>128</v>
      </c>
      <c r="Q21" s="60" t="s">
        <v>129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="6" customFormat="1" ht="71" customHeight="1" spans="1:29">
      <c r="A22" s="22">
        <v>19</v>
      </c>
      <c r="B22" s="23" t="s">
        <v>130</v>
      </c>
      <c r="C22" s="45" t="s">
        <v>131</v>
      </c>
      <c r="D22" s="45" t="s">
        <v>132</v>
      </c>
      <c r="E22" s="23" t="s">
        <v>22</v>
      </c>
      <c r="F22" s="22" t="s">
        <v>37</v>
      </c>
      <c r="G22" s="25">
        <v>34483</v>
      </c>
      <c r="H22" s="26" t="str">
        <f ca="1" t="shared" si="0"/>
        <v>32 years, 1 months</v>
      </c>
      <c r="I22" s="27">
        <v>45649</v>
      </c>
      <c r="J22" s="30" t="s">
        <v>133</v>
      </c>
      <c r="K22" s="22" t="s">
        <v>25</v>
      </c>
      <c r="L22" s="22" t="s">
        <v>134</v>
      </c>
      <c r="M22" s="31" t="str">
        <f ca="1" t="shared" si="1"/>
        <v>1 Years, 6 Months</v>
      </c>
      <c r="N22" s="39">
        <v>8838868741</v>
      </c>
      <c r="O22" s="36">
        <v>8489936232</v>
      </c>
      <c r="P22" s="46" t="s">
        <v>135</v>
      </c>
      <c r="Q22" s="60" t="s">
        <v>136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="6" customFormat="1" ht="71" customHeight="1" spans="1:29">
      <c r="A23" s="22">
        <v>20</v>
      </c>
      <c r="B23" s="23" t="s">
        <v>137</v>
      </c>
      <c r="C23" s="24" t="s">
        <v>138</v>
      </c>
      <c r="D23" s="24" t="s">
        <v>139</v>
      </c>
      <c r="E23" s="23" t="s">
        <v>22</v>
      </c>
      <c r="F23" s="22" t="s">
        <v>70</v>
      </c>
      <c r="G23" s="25">
        <v>27748</v>
      </c>
      <c r="H23" s="26" t="str">
        <f ca="1" t="shared" si="0"/>
        <v>50 years, 6 months</v>
      </c>
      <c r="I23" s="27">
        <v>45637</v>
      </c>
      <c r="J23" s="30" t="s">
        <v>111</v>
      </c>
      <c r="K23" s="22" t="s">
        <v>32</v>
      </c>
      <c r="L23" s="22"/>
      <c r="M23" s="31" t="str">
        <f ca="1" t="shared" si="1"/>
        <v>1 Years, 6 Months</v>
      </c>
      <c r="N23" s="36">
        <v>8870571352</v>
      </c>
      <c r="O23" s="36">
        <v>8870571352</v>
      </c>
      <c r="P23" s="47" t="s">
        <v>140</v>
      </c>
      <c r="Q23" s="60" t="s">
        <v>141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="6" customFormat="1" ht="71" customHeight="1" spans="1:29">
      <c r="A24" s="22">
        <v>21</v>
      </c>
      <c r="B24" s="23" t="s">
        <v>142</v>
      </c>
      <c r="C24" s="24" t="s">
        <v>143</v>
      </c>
      <c r="D24" s="24" t="s">
        <v>144</v>
      </c>
      <c r="E24" s="23" t="s">
        <v>22</v>
      </c>
      <c r="F24" s="22" t="s">
        <v>145</v>
      </c>
      <c r="G24" s="25">
        <v>29528</v>
      </c>
      <c r="H24" s="26" t="str">
        <f ca="1" t="shared" si="0"/>
        <v>45 years, 7 months</v>
      </c>
      <c r="I24" s="27">
        <v>45698</v>
      </c>
      <c r="J24" s="30" t="s">
        <v>77</v>
      </c>
      <c r="K24" s="22" t="s">
        <v>32</v>
      </c>
      <c r="L24" s="22"/>
      <c r="M24" s="31" t="str">
        <f ca="1" t="shared" si="1"/>
        <v>1 Years, 4 Months</v>
      </c>
      <c r="N24" s="36">
        <v>9790684813</v>
      </c>
      <c r="O24" s="35">
        <v>6385210077</v>
      </c>
      <c r="P24" s="46" t="s">
        <v>146</v>
      </c>
      <c r="Q24" s="60" t="s">
        <v>147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="6" customFormat="1" ht="71" customHeight="1" spans="1:29">
      <c r="A25" s="22">
        <v>22</v>
      </c>
      <c r="B25" s="23" t="s">
        <v>148</v>
      </c>
      <c r="C25" s="24" t="s">
        <v>149</v>
      </c>
      <c r="D25" s="24" t="s">
        <v>150</v>
      </c>
      <c r="E25" s="23" t="s">
        <v>22</v>
      </c>
      <c r="F25" s="22" t="s">
        <v>37</v>
      </c>
      <c r="G25" s="25">
        <v>35766</v>
      </c>
      <c r="H25" s="26" t="str">
        <f ca="1" t="shared" si="0"/>
        <v>28 years, 6 months</v>
      </c>
      <c r="I25" s="27">
        <v>45712</v>
      </c>
      <c r="J25" s="30" t="s">
        <v>151</v>
      </c>
      <c r="K25" s="22" t="s">
        <v>25</v>
      </c>
      <c r="L25" s="22" t="s">
        <v>152</v>
      </c>
      <c r="M25" s="31" t="str">
        <f ca="1" t="shared" si="1"/>
        <v>1 Years, 4 Months</v>
      </c>
      <c r="N25" s="39">
        <v>8903784492</v>
      </c>
      <c r="O25" s="22">
        <v>8903784492</v>
      </c>
      <c r="P25" s="38" t="s">
        <v>153</v>
      </c>
      <c r="Q25" s="60" t="s">
        <v>154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="6" customFormat="1" ht="63" customHeight="1" spans="1:29">
      <c r="A26" s="22">
        <v>23</v>
      </c>
      <c r="B26" s="23" t="s">
        <v>155</v>
      </c>
      <c r="C26" s="24" t="s">
        <v>156</v>
      </c>
      <c r="D26" s="24" t="s">
        <v>156</v>
      </c>
      <c r="E26" s="23" t="s">
        <v>22</v>
      </c>
      <c r="F26" s="22" t="s">
        <v>70</v>
      </c>
      <c r="G26" s="25">
        <v>34890</v>
      </c>
      <c r="H26" s="26" t="str">
        <f ca="1" t="shared" si="0"/>
        <v>30 years, 11 months</v>
      </c>
      <c r="I26" s="27">
        <v>44154</v>
      </c>
      <c r="J26" s="30" t="s">
        <v>100</v>
      </c>
      <c r="K26" s="22" t="s">
        <v>45</v>
      </c>
      <c r="L26" s="22"/>
      <c r="M26" s="31" t="str">
        <f ca="1" t="shared" si="1"/>
        <v>5 Years, 7 Months</v>
      </c>
      <c r="N26" s="36">
        <v>7667484386</v>
      </c>
      <c r="O26" s="43">
        <v>9715815628</v>
      </c>
      <c r="P26" s="38" t="s">
        <v>157</v>
      </c>
      <c r="Q26" s="60" t="s">
        <v>158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="6" customFormat="1" ht="63" customHeight="1" spans="1:29">
      <c r="A27" s="22">
        <v>24</v>
      </c>
      <c r="B27" s="23" t="s">
        <v>159</v>
      </c>
      <c r="C27" s="24" t="s">
        <v>160</v>
      </c>
      <c r="D27" s="24" t="s">
        <v>161</v>
      </c>
      <c r="E27" s="23" t="s">
        <v>22</v>
      </c>
      <c r="F27" s="22" t="s">
        <v>57</v>
      </c>
      <c r="G27" s="25">
        <v>31196</v>
      </c>
      <c r="H27" s="26" t="str">
        <f ca="1" t="shared" si="0"/>
        <v>41 years, 1 months</v>
      </c>
      <c r="I27" s="27">
        <v>45730</v>
      </c>
      <c r="J27" s="30" t="s">
        <v>162</v>
      </c>
      <c r="K27" s="22" t="s">
        <v>39</v>
      </c>
      <c r="L27" s="22"/>
      <c r="M27" s="31" t="str">
        <f ca="1" t="shared" si="1"/>
        <v>1 Years, 3 Months</v>
      </c>
      <c r="N27" s="22">
        <v>9789923583</v>
      </c>
      <c r="O27" s="36">
        <v>6385319787</v>
      </c>
      <c r="P27" s="32" t="s">
        <v>163</v>
      </c>
      <c r="Q27" s="60" t="s">
        <v>164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="8" customFormat="1" ht="63" customHeight="1" spans="1:29">
      <c r="A28" s="22">
        <v>25</v>
      </c>
      <c r="B28" s="48" t="s">
        <v>165</v>
      </c>
      <c r="C28" s="49" t="s">
        <v>166</v>
      </c>
      <c r="D28" s="49" t="s">
        <v>166</v>
      </c>
      <c r="E28" s="48" t="s">
        <v>22</v>
      </c>
      <c r="F28" s="48"/>
      <c r="G28" s="50">
        <v>31700</v>
      </c>
      <c r="H28" s="51" t="str">
        <f ca="1" t="shared" si="0"/>
        <v>39 years, 8 months</v>
      </c>
      <c r="I28" s="52">
        <v>45741</v>
      </c>
      <c r="J28" s="53"/>
      <c r="K28" s="48" t="s">
        <v>32</v>
      </c>
      <c r="L28" s="48"/>
      <c r="M28" s="48" t="str">
        <f ca="1" t="shared" si="1"/>
        <v>1 Years, 3 Months</v>
      </c>
      <c r="N28" s="54">
        <v>9944587819</v>
      </c>
      <c r="O28" s="48">
        <v>9944587819</v>
      </c>
      <c r="P28" s="55" t="s">
        <v>167</v>
      </c>
      <c r="Q28" s="61" t="s">
        <v>168</v>
      </c>
      <c r="R28" s="54" t="s">
        <v>169</v>
      </c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</row>
    <row r="29" s="6" customFormat="1" ht="63" customHeight="1" spans="1:29">
      <c r="A29" s="22">
        <v>26</v>
      </c>
      <c r="B29" s="23" t="s">
        <v>170</v>
      </c>
      <c r="C29" s="24" t="s">
        <v>171</v>
      </c>
      <c r="D29" s="24" t="s">
        <v>172</v>
      </c>
      <c r="E29" s="23" t="s">
        <v>22</v>
      </c>
      <c r="F29" s="22" t="s">
        <v>23</v>
      </c>
      <c r="G29" s="56">
        <v>33331</v>
      </c>
      <c r="H29" s="26" t="str">
        <f ca="1" t="shared" si="0"/>
        <v>35 years, 2 months</v>
      </c>
      <c r="I29" s="27">
        <v>45768</v>
      </c>
      <c r="J29" s="30" t="s">
        <v>173</v>
      </c>
      <c r="K29" s="22" t="s">
        <v>32</v>
      </c>
      <c r="L29" s="22"/>
      <c r="M29" s="31" t="str">
        <f ca="1" t="shared" si="1"/>
        <v>1 Years, 2 Months</v>
      </c>
      <c r="N29" s="22">
        <v>9789430698</v>
      </c>
      <c r="O29" s="43">
        <v>9047413297</v>
      </c>
      <c r="P29" s="38" t="s">
        <v>174</v>
      </c>
      <c r="Q29" s="60" t="s">
        <v>175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="6" customFormat="1" ht="63" customHeight="1" spans="1:29">
      <c r="A30" s="22">
        <v>27</v>
      </c>
      <c r="B30" s="23" t="s">
        <v>176</v>
      </c>
      <c r="C30" s="24" t="s">
        <v>177</v>
      </c>
      <c r="D30" s="24" t="s">
        <v>178</v>
      </c>
      <c r="E30" s="23" t="s">
        <v>22</v>
      </c>
      <c r="F30" s="36" t="s">
        <v>70</v>
      </c>
      <c r="G30" s="57">
        <v>23693</v>
      </c>
      <c r="H30" s="26" t="str">
        <f ca="1" t="shared" si="0"/>
        <v>61 years, 7 months</v>
      </c>
      <c r="I30" s="27">
        <v>45311</v>
      </c>
      <c r="J30" s="30" t="s">
        <v>179</v>
      </c>
      <c r="K30" s="22" t="s">
        <v>180</v>
      </c>
      <c r="L30" s="22"/>
      <c r="M30" s="31" t="str">
        <f ca="1" t="shared" si="1"/>
        <v>2 Years, 5 Months</v>
      </c>
      <c r="N30" s="37">
        <v>9500922124</v>
      </c>
      <c r="O30" s="35">
        <v>9944531917</v>
      </c>
      <c r="P30" s="46" t="s">
        <v>181</v>
      </c>
      <c r="Q30" s="60" t="s">
        <v>182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="6" customFormat="1" ht="63" customHeight="1" spans="1:29">
      <c r="A31" s="22">
        <v>28</v>
      </c>
      <c r="B31" s="23" t="s">
        <v>183</v>
      </c>
      <c r="C31" s="45" t="s">
        <v>184</v>
      </c>
      <c r="D31" s="45" t="s">
        <v>185</v>
      </c>
      <c r="E31" s="23" t="s">
        <v>22</v>
      </c>
      <c r="F31" s="22" t="s">
        <v>70</v>
      </c>
      <c r="G31" s="58">
        <v>32862</v>
      </c>
      <c r="H31" s="26" t="str">
        <f ca="1" t="shared" si="0"/>
        <v>36 years, 6 months</v>
      </c>
      <c r="I31" s="27">
        <v>45786</v>
      </c>
      <c r="J31" s="30" t="s">
        <v>83</v>
      </c>
      <c r="K31" s="22" t="s">
        <v>45</v>
      </c>
      <c r="L31" s="22"/>
      <c r="M31" s="31" t="str">
        <f ca="1" t="shared" si="1"/>
        <v>1 Years, 1 Months</v>
      </c>
      <c r="N31" s="36">
        <v>9791915340</v>
      </c>
      <c r="O31" s="22">
        <v>9965383340</v>
      </c>
      <c r="P31" s="47" t="s">
        <v>186</v>
      </c>
      <c r="Q31" s="60" t="s">
        <v>187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="6" customFormat="1" ht="63" customHeight="1" spans="1:29">
      <c r="A32" s="22">
        <v>29</v>
      </c>
      <c r="B32" s="23" t="s">
        <v>188</v>
      </c>
      <c r="C32" s="24" t="s">
        <v>189</v>
      </c>
      <c r="D32" s="24" t="s">
        <v>190</v>
      </c>
      <c r="E32" s="23" t="s">
        <v>22</v>
      </c>
      <c r="F32" s="22" t="s">
        <v>37</v>
      </c>
      <c r="G32" s="25">
        <v>36478</v>
      </c>
      <c r="H32" s="26" t="str">
        <f ca="1" t="shared" si="0"/>
        <v>26 years, 7 months</v>
      </c>
      <c r="I32" s="27">
        <v>45791</v>
      </c>
      <c r="J32" s="30" t="s">
        <v>191</v>
      </c>
      <c r="K32" s="22" t="s">
        <v>25</v>
      </c>
      <c r="L32" s="22" t="s">
        <v>192</v>
      </c>
      <c r="M32" s="31" t="str">
        <f ca="1" t="shared" si="1"/>
        <v>1 Years, 1 Months</v>
      </c>
      <c r="N32" s="22">
        <v>9789463404</v>
      </c>
      <c r="O32" s="33">
        <v>9994590614</v>
      </c>
      <c r="P32" s="32" t="s">
        <v>193</v>
      </c>
      <c r="Q32" s="60" t="s">
        <v>194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="6" customFormat="1" ht="63" customHeight="1" spans="1:29">
      <c r="A33" s="22">
        <v>30</v>
      </c>
      <c r="B33" s="23" t="s">
        <v>195</v>
      </c>
      <c r="C33" s="24" t="s">
        <v>196</v>
      </c>
      <c r="D33" s="24" t="s">
        <v>197</v>
      </c>
      <c r="E33" s="23" t="s">
        <v>22</v>
      </c>
      <c r="F33" s="22" t="s">
        <v>37</v>
      </c>
      <c r="G33" s="25">
        <v>32944</v>
      </c>
      <c r="H33" s="26" t="str">
        <f ca="1" t="shared" si="0"/>
        <v>36 years, 3 months</v>
      </c>
      <c r="I33" s="27">
        <v>45812</v>
      </c>
      <c r="J33" s="30" t="s">
        <v>77</v>
      </c>
      <c r="K33" s="22" t="s">
        <v>45</v>
      </c>
      <c r="L33" s="22"/>
      <c r="M33" s="31" t="str">
        <f ca="1" t="shared" si="1"/>
        <v>1 Years, 0 Months</v>
      </c>
      <c r="N33" s="22">
        <v>8675781296</v>
      </c>
      <c r="O33" s="22">
        <v>8675781296</v>
      </c>
      <c r="P33" s="32" t="s">
        <v>198</v>
      </c>
      <c r="Q33" s="60" t="s">
        <v>199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="6" customFormat="1" ht="63" customHeight="1" spans="1:29">
      <c r="A34" s="22">
        <v>31</v>
      </c>
      <c r="B34" s="23" t="s">
        <v>200</v>
      </c>
      <c r="C34" s="24" t="s">
        <v>201</v>
      </c>
      <c r="D34" s="24" t="s">
        <v>202</v>
      </c>
      <c r="E34" s="23" t="s">
        <v>22</v>
      </c>
      <c r="F34" s="22" t="s">
        <v>70</v>
      </c>
      <c r="G34" s="25">
        <v>35744</v>
      </c>
      <c r="H34" s="26" t="str">
        <f ca="1" t="shared" si="0"/>
        <v>28 years, 7 months</v>
      </c>
      <c r="I34" s="27">
        <v>45817</v>
      </c>
      <c r="J34" s="41" t="s">
        <v>83</v>
      </c>
      <c r="K34" s="22" t="s">
        <v>45</v>
      </c>
      <c r="L34" s="22"/>
      <c r="M34" s="31" t="str">
        <f ca="1" t="shared" si="1"/>
        <v>1 Years, 0 Months</v>
      </c>
      <c r="N34" s="22">
        <v>9500685400</v>
      </c>
      <c r="O34" s="22">
        <v>9500685400</v>
      </c>
      <c r="P34" s="32" t="s">
        <v>203</v>
      </c>
      <c r="Q34" s="60" t="s">
        <v>204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="6" customFormat="1" ht="63" customHeight="1" spans="1:29">
      <c r="A35" s="22">
        <v>32</v>
      </c>
      <c r="B35" s="23" t="s">
        <v>205</v>
      </c>
      <c r="C35" s="45" t="s">
        <v>206</v>
      </c>
      <c r="D35" s="45" t="s">
        <v>206</v>
      </c>
      <c r="E35" s="23" t="s">
        <v>65</v>
      </c>
      <c r="F35" s="22" t="s">
        <v>145</v>
      </c>
      <c r="G35" s="25">
        <v>28200</v>
      </c>
      <c r="H35" s="26" t="str">
        <f ca="1" t="shared" si="0"/>
        <v>49 years, 3 months</v>
      </c>
      <c r="I35" s="27">
        <v>45833</v>
      </c>
      <c r="J35" s="30" t="s">
        <v>100</v>
      </c>
      <c r="K35" s="22" t="s">
        <v>39</v>
      </c>
      <c r="L35" s="22"/>
      <c r="M35" s="31" t="str">
        <f ca="1" t="shared" si="1"/>
        <v>1 Years, 0 Months</v>
      </c>
      <c r="N35" s="22">
        <v>9952377017</v>
      </c>
      <c r="O35" s="22">
        <v>9952377017</v>
      </c>
      <c r="P35" s="32" t="s">
        <v>207</v>
      </c>
      <c r="Q35" s="60" t="s">
        <v>208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="6" customFormat="1" ht="63" customHeight="1" spans="1:29">
      <c r="A36" s="22">
        <v>33</v>
      </c>
      <c r="B36" s="23" t="s">
        <v>209</v>
      </c>
      <c r="C36" s="24" t="s">
        <v>210</v>
      </c>
      <c r="D36" s="24" t="s">
        <v>210</v>
      </c>
      <c r="E36" s="23" t="s">
        <v>22</v>
      </c>
      <c r="F36" s="22" t="s">
        <v>57</v>
      </c>
      <c r="G36" s="25">
        <v>29485</v>
      </c>
      <c r="H36" s="26" t="str">
        <f ca="1" t="shared" si="0"/>
        <v>45 years, 9 months</v>
      </c>
      <c r="I36" s="27">
        <v>45870</v>
      </c>
      <c r="J36" s="30" t="s">
        <v>100</v>
      </c>
      <c r="K36" s="22" t="s">
        <v>32</v>
      </c>
      <c r="L36" s="22"/>
      <c r="M36" s="31" t="str">
        <f ca="1" t="shared" si="1"/>
        <v>0 Years, 10 Months</v>
      </c>
      <c r="N36" s="6">
        <v>8122557790</v>
      </c>
      <c r="O36" s="22">
        <v>7639987239</v>
      </c>
      <c r="P36" s="32" t="s">
        <v>211</v>
      </c>
      <c r="Q36" s="60" t="s">
        <v>212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="6" customFormat="1" ht="63" customHeight="1" spans="1:29">
      <c r="A37" s="22">
        <v>34</v>
      </c>
      <c r="B37" s="23" t="s">
        <v>213</v>
      </c>
      <c r="C37" s="24" t="s">
        <v>214</v>
      </c>
      <c r="D37" s="24" t="s">
        <v>214</v>
      </c>
      <c r="E37" s="23" t="s">
        <v>22</v>
      </c>
      <c r="F37" s="22" t="s">
        <v>37</v>
      </c>
      <c r="G37" s="25">
        <v>31636</v>
      </c>
      <c r="H37" s="26" t="str">
        <f ca="1" t="shared" si="0"/>
        <v>39 years, 10 months</v>
      </c>
      <c r="I37" s="27">
        <v>45908</v>
      </c>
      <c r="J37" s="30" t="s">
        <v>215</v>
      </c>
      <c r="K37" s="22" t="s">
        <v>32</v>
      </c>
      <c r="L37" s="22"/>
      <c r="M37" s="31" t="str">
        <f ca="1" t="shared" si="1"/>
        <v>0 Years, 9 Months</v>
      </c>
      <c r="N37" s="22">
        <v>9976762500</v>
      </c>
      <c r="O37" s="22">
        <v>9976762500</v>
      </c>
      <c r="P37" s="32" t="s">
        <v>216</v>
      </c>
      <c r="Q37" s="60" t="s">
        <v>217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="6" customFormat="1" ht="63" customHeight="1" spans="1:29">
      <c r="A38" s="22">
        <v>35</v>
      </c>
      <c r="B38" s="23" t="s">
        <v>218</v>
      </c>
      <c r="C38" s="24" t="s">
        <v>219</v>
      </c>
      <c r="D38" s="24" t="s">
        <v>219</v>
      </c>
      <c r="E38" s="23" t="s">
        <v>22</v>
      </c>
      <c r="F38" s="22" t="s">
        <v>70</v>
      </c>
      <c r="G38" s="25">
        <v>35366</v>
      </c>
      <c r="H38" s="26" t="str">
        <f ca="1" t="shared" si="0"/>
        <v>29 years, 8 months</v>
      </c>
      <c r="I38" s="27">
        <v>45915</v>
      </c>
      <c r="J38" s="30" t="s">
        <v>77</v>
      </c>
      <c r="K38" s="22" t="s">
        <v>45</v>
      </c>
      <c r="L38" s="22"/>
      <c r="M38" s="31" t="str">
        <f ca="1" t="shared" si="1"/>
        <v>0 Years, 9 Months</v>
      </c>
      <c r="N38" s="22">
        <v>9788576961</v>
      </c>
      <c r="O38" s="22">
        <v>9788576961</v>
      </c>
      <c r="P38" s="32" t="s">
        <v>220</v>
      </c>
      <c r="Q38" s="60" t="s">
        <v>221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="6" customFormat="1" ht="63" customHeight="1" spans="1:29">
      <c r="A39" s="22">
        <v>36</v>
      </c>
      <c r="B39" s="23" t="s">
        <v>222</v>
      </c>
      <c r="C39" s="45" t="s">
        <v>223</v>
      </c>
      <c r="D39" s="45" t="s">
        <v>224</v>
      </c>
      <c r="E39" s="23" t="s">
        <v>22</v>
      </c>
      <c r="F39" s="22" t="s">
        <v>37</v>
      </c>
      <c r="G39" s="25">
        <v>31367</v>
      </c>
      <c r="H39" s="26" t="str">
        <f ca="1" t="shared" si="0"/>
        <v>40 years, 7 months</v>
      </c>
      <c r="I39" s="27">
        <v>45915</v>
      </c>
      <c r="J39" s="30" t="s">
        <v>127</v>
      </c>
      <c r="K39" s="22" t="s">
        <v>32</v>
      </c>
      <c r="L39" s="22"/>
      <c r="M39" s="31" t="str">
        <f ca="1" t="shared" si="1"/>
        <v>0 Years, 9 Months</v>
      </c>
      <c r="N39" s="22"/>
      <c r="O39" s="22"/>
      <c r="P39" s="32" t="s">
        <v>225</v>
      </c>
      <c r="Q39" s="60" t="s">
        <v>226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="6" customFormat="1" ht="63" customHeight="1" spans="1:29">
      <c r="A40" s="22">
        <v>37</v>
      </c>
      <c r="B40" s="23" t="s">
        <v>227</v>
      </c>
      <c r="C40" s="45" t="s">
        <v>228</v>
      </c>
      <c r="D40" s="45" t="s">
        <v>229</v>
      </c>
      <c r="E40" s="23" t="s">
        <v>22</v>
      </c>
      <c r="F40" s="22" t="s">
        <v>57</v>
      </c>
      <c r="G40" s="25">
        <v>29448</v>
      </c>
      <c r="H40" s="26" t="str">
        <f ca="1" t="shared" si="0"/>
        <v>45 years, 10 months</v>
      </c>
      <c r="I40" s="27">
        <v>45964</v>
      </c>
      <c r="J40" s="30" t="s">
        <v>215</v>
      </c>
      <c r="K40" s="22" t="s">
        <v>32</v>
      </c>
      <c r="L40" s="22"/>
      <c r="M40" s="31" t="str">
        <f ca="1" t="shared" si="1"/>
        <v>0 Years, 7 Months</v>
      </c>
      <c r="N40" s="22">
        <v>9698197113</v>
      </c>
      <c r="O40" s="22">
        <v>9698197113</v>
      </c>
      <c r="P40" s="32" t="s">
        <v>230</v>
      </c>
      <c r="Q40" s="60" t="s">
        <v>231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="6" customFormat="1" ht="63" customHeight="1" spans="1:29">
      <c r="A41" s="22">
        <v>38</v>
      </c>
      <c r="B41" s="23" t="s">
        <v>232</v>
      </c>
      <c r="C41" s="45" t="s">
        <v>233</v>
      </c>
      <c r="D41" s="45" t="s">
        <v>234</v>
      </c>
      <c r="E41" s="23" t="s">
        <v>22</v>
      </c>
      <c r="F41" s="22" t="s">
        <v>57</v>
      </c>
      <c r="G41" s="25">
        <v>35909</v>
      </c>
      <c r="H41" s="26" t="str">
        <f ca="1" t="shared" si="0"/>
        <v>28 years, 2 months</v>
      </c>
      <c r="I41" s="27">
        <v>45964</v>
      </c>
      <c r="J41" s="30" t="s">
        <v>24</v>
      </c>
      <c r="K41" s="22" t="s">
        <v>32</v>
      </c>
      <c r="L41" s="22"/>
      <c r="M41" s="31" t="str">
        <f ca="1" t="shared" si="1"/>
        <v>0 Years, 7 Months</v>
      </c>
      <c r="N41" s="22">
        <v>9655616922</v>
      </c>
      <c r="O41" s="22">
        <v>8675110242</v>
      </c>
      <c r="P41" s="32" t="s">
        <v>235</v>
      </c>
      <c r="Q41" s="60" t="s">
        <v>236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="6" customFormat="1" ht="63" customHeight="1" spans="1:29">
      <c r="A42" s="22">
        <v>39</v>
      </c>
      <c r="B42" s="23" t="s">
        <v>237</v>
      </c>
      <c r="C42" s="45" t="s">
        <v>238</v>
      </c>
      <c r="D42" s="45" t="s">
        <v>239</v>
      </c>
      <c r="E42" s="23" t="s">
        <v>22</v>
      </c>
      <c r="F42" s="22" t="s">
        <v>70</v>
      </c>
      <c r="G42" s="25">
        <v>30902</v>
      </c>
      <c r="H42" s="26" t="str">
        <f ca="1" t="shared" si="0"/>
        <v>41 years, 10 months</v>
      </c>
      <c r="I42" s="27">
        <v>45628</v>
      </c>
      <c r="J42" s="30" t="s">
        <v>77</v>
      </c>
      <c r="K42" s="22" t="s">
        <v>45</v>
      </c>
      <c r="L42" s="22"/>
      <c r="M42" s="31" t="str">
        <f ca="1" t="shared" si="1"/>
        <v>1 Years, 6 Months</v>
      </c>
      <c r="N42" s="42">
        <v>8675657456</v>
      </c>
      <c r="O42" s="42">
        <v>8940676365</v>
      </c>
      <c r="P42" s="32" t="s">
        <v>240</v>
      </c>
      <c r="Q42" s="60" t="s">
        <v>241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="6" customFormat="1" ht="63" customHeight="1" spans="1:29">
      <c r="A43" s="22">
        <v>40</v>
      </c>
      <c r="B43" s="23" t="s">
        <v>242</v>
      </c>
      <c r="C43" s="24" t="s">
        <v>243</v>
      </c>
      <c r="D43" s="24" t="s">
        <v>244</v>
      </c>
      <c r="E43" s="23" t="s">
        <v>22</v>
      </c>
      <c r="F43" s="22" t="s">
        <v>23</v>
      </c>
      <c r="G43" s="25">
        <v>34520</v>
      </c>
      <c r="H43" s="26" t="str">
        <f ca="1" t="shared" si="0"/>
        <v>31 years, 11 months</v>
      </c>
      <c r="I43" s="27">
        <v>45645</v>
      </c>
      <c r="J43" s="30" t="s">
        <v>24</v>
      </c>
      <c r="K43" s="22" t="s">
        <v>45</v>
      </c>
      <c r="L43" s="22"/>
      <c r="M43" s="31" t="str">
        <f ca="1" t="shared" si="1"/>
        <v>1 Years, 6 Months</v>
      </c>
      <c r="N43" s="22">
        <v>7305169223</v>
      </c>
      <c r="O43" s="22">
        <v>9600546489</v>
      </c>
      <c r="P43" s="32" t="s">
        <v>245</v>
      </c>
      <c r="Q43" s="60" t="s">
        <v>246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="6" customFormat="1" ht="63" customHeight="1" spans="1:29">
      <c r="A44" s="22">
        <v>41</v>
      </c>
      <c r="B44" s="23" t="s">
        <v>247</v>
      </c>
      <c r="C44" s="24" t="s">
        <v>248</v>
      </c>
      <c r="D44" s="24" t="s">
        <v>249</v>
      </c>
      <c r="E44" s="23" t="s">
        <v>22</v>
      </c>
      <c r="F44" s="22" t="s">
        <v>145</v>
      </c>
      <c r="G44" s="25">
        <v>35531</v>
      </c>
      <c r="H44" s="26" t="str">
        <f ca="1" t="shared" si="0"/>
        <v>29 years, 2 months</v>
      </c>
      <c r="I44" s="27">
        <v>45327</v>
      </c>
      <c r="J44" s="30" t="s">
        <v>83</v>
      </c>
      <c r="K44" s="22" t="s">
        <v>45</v>
      </c>
      <c r="L44" s="22"/>
      <c r="M44" s="31" t="str">
        <f ca="1" t="shared" si="1"/>
        <v>2 Years, 4 Months</v>
      </c>
      <c r="N44" s="22">
        <v>8778735798</v>
      </c>
      <c r="O44" s="22">
        <v>7904871918</v>
      </c>
      <c r="P44" s="32" t="s">
        <v>250</v>
      </c>
      <c r="Q44" s="60" t="s">
        <v>251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="6" customFormat="1" ht="63" customHeight="1" spans="1:29">
      <c r="A45" s="22">
        <v>42</v>
      </c>
      <c r="B45" s="23" t="s">
        <v>252</v>
      </c>
      <c r="C45" s="24" t="s">
        <v>253</v>
      </c>
      <c r="D45" s="24" t="s">
        <v>253</v>
      </c>
      <c r="E45" s="23" t="s">
        <v>22</v>
      </c>
      <c r="F45" s="22" t="s">
        <v>70</v>
      </c>
      <c r="G45" s="25">
        <v>33976</v>
      </c>
      <c r="H45" s="26" t="str">
        <f ca="1" t="shared" si="0"/>
        <v>33 years, 5 months</v>
      </c>
      <c r="I45" s="27">
        <v>46000</v>
      </c>
      <c r="J45" s="30" t="s">
        <v>83</v>
      </c>
      <c r="K45" s="22" t="s">
        <v>45</v>
      </c>
      <c r="L45" s="22"/>
      <c r="M45" s="31" t="str">
        <f ca="1" t="shared" si="1"/>
        <v>0 Years, 6 Months</v>
      </c>
      <c r="N45" s="22">
        <v>9790591758</v>
      </c>
      <c r="O45" s="35">
        <v>6383261015</v>
      </c>
      <c r="P45" s="32" t="s">
        <v>254</v>
      </c>
      <c r="Q45" s="60" t="s">
        <v>255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="6" customFormat="1" ht="63" customHeight="1" spans="1:29">
      <c r="A46" s="22">
        <v>43</v>
      </c>
      <c r="B46" s="23" t="s">
        <v>256</v>
      </c>
      <c r="C46" s="24" t="s">
        <v>257</v>
      </c>
      <c r="D46" s="24" t="s">
        <v>258</v>
      </c>
      <c r="E46" s="23" t="s">
        <v>65</v>
      </c>
      <c r="F46" s="22" t="s">
        <v>37</v>
      </c>
      <c r="G46" s="25">
        <v>35730</v>
      </c>
      <c r="H46" s="26" t="str">
        <f ca="1" t="shared" si="0"/>
        <v>28 years, 8 months</v>
      </c>
      <c r="I46" s="27">
        <v>45895</v>
      </c>
      <c r="J46" s="30" t="s">
        <v>83</v>
      </c>
      <c r="K46" s="22" t="s">
        <v>259</v>
      </c>
      <c r="L46" s="22"/>
      <c r="M46" s="31" t="str">
        <f ca="1" t="shared" si="1"/>
        <v>0 Years, 10 Months</v>
      </c>
      <c r="N46" s="22">
        <v>9698465583</v>
      </c>
      <c r="O46" s="36">
        <v>9698465883</v>
      </c>
      <c r="P46" s="32" t="s">
        <v>260</v>
      </c>
      <c r="Q46" s="60" t="s">
        <v>261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="9" customFormat="1" ht="63" customHeight="1" spans="1:29">
      <c r="A47" s="22">
        <v>44</v>
      </c>
      <c r="B47" s="23" t="s">
        <v>262</v>
      </c>
      <c r="C47" s="24" t="s">
        <v>263</v>
      </c>
      <c r="D47" s="24" t="s">
        <v>264</v>
      </c>
      <c r="E47" s="23" t="s">
        <v>22</v>
      </c>
      <c r="F47" s="22" t="s">
        <v>70</v>
      </c>
      <c r="G47" s="25">
        <v>35569</v>
      </c>
      <c r="H47" s="26" t="str">
        <f ca="1" t="shared" si="0"/>
        <v>29 years, 1 months</v>
      </c>
      <c r="I47" s="27">
        <v>46027</v>
      </c>
      <c r="J47" s="30" t="s">
        <v>100</v>
      </c>
      <c r="K47" s="22" t="s">
        <v>45</v>
      </c>
      <c r="L47" s="22"/>
      <c r="M47" s="31" t="str">
        <f ca="1" t="shared" si="1"/>
        <v>0 Years, 5 Months</v>
      </c>
      <c r="N47" s="36">
        <v>9597681310</v>
      </c>
      <c r="O47" s="43">
        <v>9789238653</v>
      </c>
      <c r="P47" s="38" t="s">
        <v>265</v>
      </c>
      <c r="Q47" s="60" t="s">
        <v>266</v>
      </c>
    </row>
    <row r="48" s="9" customFormat="1" ht="63" customHeight="1" spans="1:29">
      <c r="A48" s="22">
        <v>45</v>
      </c>
      <c r="B48" s="23" t="s">
        <v>267</v>
      </c>
      <c r="C48" s="45" t="s">
        <v>268</v>
      </c>
      <c r="D48" s="45" t="s">
        <v>268</v>
      </c>
      <c r="E48" s="23" t="s">
        <v>22</v>
      </c>
      <c r="F48" s="22" t="s">
        <v>70</v>
      </c>
      <c r="G48" s="25">
        <v>32195</v>
      </c>
      <c r="H48" s="26" t="str">
        <f ca="1" t="shared" si="0"/>
        <v>38 years, 4 months</v>
      </c>
      <c r="I48" s="27">
        <v>46028</v>
      </c>
      <c r="J48" s="30" t="s">
        <v>100</v>
      </c>
      <c r="K48" s="22" t="s">
        <v>32</v>
      </c>
      <c r="L48" s="22"/>
      <c r="M48" s="31" t="str">
        <f ca="1" t="shared" si="1"/>
        <v>0 Years, 5 Months</v>
      </c>
      <c r="N48" s="39">
        <v>8012947109</v>
      </c>
      <c r="O48" s="36">
        <v>8122905403</v>
      </c>
      <c r="P48" s="31" t="s">
        <v>269</v>
      </c>
      <c r="Q48" s="60" t="s">
        <v>270</v>
      </c>
    </row>
    <row r="49" s="9" customFormat="1" ht="63" customHeight="1" spans="1:17">
      <c r="A49" s="22">
        <v>46</v>
      </c>
      <c r="B49" s="23" t="s">
        <v>271</v>
      </c>
      <c r="C49" s="45" t="s">
        <v>272</v>
      </c>
      <c r="D49" s="45" t="s">
        <v>272</v>
      </c>
      <c r="E49" s="23" t="s">
        <v>65</v>
      </c>
      <c r="F49" s="22" t="s">
        <v>37</v>
      </c>
      <c r="G49" s="25">
        <v>39404</v>
      </c>
      <c r="H49" s="26" t="str">
        <f ca="1" t="shared" si="0"/>
        <v>18 years, 7 months</v>
      </c>
      <c r="I49" s="27">
        <v>45846</v>
      </c>
      <c r="J49" s="30" t="s">
        <v>100</v>
      </c>
      <c r="K49" s="22" t="s">
        <v>39</v>
      </c>
      <c r="L49" s="22"/>
      <c r="M49" s="31" t="str">
        <f ca="1" t="shared" si="1"/>
        <v>0 Years, 11 Months</v>
      </c>
      <c r="N49" s="22">
        <v>9025040049</v>
      </c>
      <c r="O49" s="33">
        <v>8508242056</v>
      </c>
      <c r="P49" s="40" t="s">
        <v>273</v>
      </c>
      <c r="Q49" s="60" t="s">
        <v>274</v>
      </c>
    </row>
    <row r="50" s="9" customFormat="1" ht="63" customHeight="1" spans="1:17">
      <c r="A50" s="22">
        <v>47</v>
      </c>
      <c r="B50" s="23" t="s">
        <v>275</v>
      </c>
      <c r="C50" s="24" t="s">
        <v>276</v>
      </c>
      <c r="D50" s="24" t="s">
        <v>276</v>
      </c>
      <c r="E50" s="23" t="s">
        <v>65</v>
      </c>
      <c r="F50" s="22" t="s">
        <v>277</v>
      </c>
      <c r="G50" s="25">
        <v>36863</v>
      </c>
      <c r="H50" s="26" t="str">
        <f ca="1" t="shared" si="0"/>
        <v>25 years, 6 months</v>
      </c>
      <c r="I50" s="27">
        <v>46114</v>
      </c>
      <c r="J50" s="30" t="s">
        <v>100</v>
      </c>
      <c r="K50" s="22" t="s">
        <v>259</v>
      </c>
      <c r="L50" s="22"/>
      <c r="M50" s="31" t="str">
        <f ca="1" t="shared" si="1"/>
        <v>0 Years, 2 Months</v>
      </c>
      <c r="N50" s="22">
        <v>9790230704</v>
      </c>
      <c r="O50" s="22">
        <v>6379087143</v>
      </c>
      <c r="P50" s="32" t="s">
        <v>278</v>
      </c>
      <c r="Q50" s="60" t="s">
        <v>279</v>
      </c>
    </row>
    <row r="51" s="6" customFormat="1" ht="63" customHeight="1" spans="1:17">
      <c r="A51" s="22">
        <v>48</v>
      </c>
      <c r="B51" s="23" t="s">
        <v>280</v>
      </c>
      <c r="C51" s="45" t="s">
        <v>281</v>
      </c>
      <c r="D51" s="45" t="s">
        <v>282</v>
      </c>
      <c r="E51" s="23" t="s">
        <v>22</v>
      </c>
      <c r="F51" s="22" t="s">
        <v>37</v>
      </c>
      <c r="G51" s="25">
        <v>33449</v>
      </c>
      <c r="H51" s="26" t="str">
        <f ca="1" t="shared" si="0"/>
        <v>34 years, 11 months</v>
      </c>
      <c r="I51" s="27">
        <v>46007</v>
      </c>
      <c r="J51" s="30" t="s">
        <v>100</v>
      </c>
      <c r="K51" s="22" t="s">
        <v>45</v>
      </c>
      <c r="L51" s="22"/>
      <c r="M51" s="31" t="str">
        <f ca="1" t="shared" si="1"/>
        <v>0 Years, 6 Months</v>
      </c>
      <c r="N51" s="22">
        <v>9345506278</v>
      </c>
      <c r="O51" s="22">
        <v>9345506278</v>
      </c>
      <c r="P51" s="32" t="s">
        <v>283</v>
      </c>
      <c r="Q51" s="60" t="s">
        <v>284</v>
      </c>
    </row>
    <row r="52" s="6" customFormat="1" ht="63" customHeight="1" spans="1:17">
      <c r="A52" s="22">
        <v>49</v>
      </c>
      <c r="B52" s="23" t="s">
        <v>285</v>
      </c>
      <c r="C52" s="45" t="s">
        <v>286</v>
      </c>
      <c r="D52" s="45" t="s">
        <v>286</v>
      </c>
      <c r="E52" s="23" t="s">
        <v>22</v>
      </c>
      <c r="F52" s="22" t="s">
        <v>37</v>
      </c>
      <c r="G52" s="59">
        <v>33679</v>
      </c>
      <c r="H52" s="26" t="str">
        <f ca="1" t="shared" si="0"/>
        <v>34 years, 3 months</v>
      </c>
      <c r="I52" s="27">
        <v>46130</v>
      </c>
      <c r="J52" s="30" t="s">
        <v>83</v>
      </c>
      <c r="K52" s="22" t="s">
        <v>32</v>
      </c>
      <c r="L52" s="22"/>
      <c r="M52" s="31" t="str">
        <f ca="1" t="shared" si="1"/>
        <v>0 Years, 2 Months</v>
      </c>
      <c r="N52" s="22">
        <v>9600901085</v>
      </c>
      <c r="O52" s="22">
        <v>8122701085</v>
      </c>
      <c r="P52" s="32" t="s">
        <v>287</v>
      </c>
      <c r="Q52" s="60" t="s">
        <v>288</v>
      </c>
    </row>
    <row r="53" s="6" customFormat="1" ht="63" customHeight="1" spans="1:17">
      <c r="A53" s="22">
        <v>50</v>
      </c>
      <c r="B53" s="23" t="s">
        <v>289</v>
      </c>
      <c r="C53" s="45" t="s">
        <v>290</v>
      </c>
      <c r="D53" s="45" t="s">
        <v>291</v>
      </c>
      <c r="E53" s="23" t="s">
        <v>22</v>
      </c>
      <c r="F53" s="22" t="s">
        <v>70</v>
      </c>
      <c r="G53" s="25">
        <v>34491</v>
      </c>
      <c r="H53" s="26" t="str">
        <f ca="1" t="shared" si="0"/>
        <v>32 years, 0 months</v>
      </c>
      <c r="I53" s="27">
        <v>46144</v>
      </c>
      <c r="J53" s="30" t="s">
        <v>100</v>
      </c>
      <c r="K53" s="22" t="s">
        <v>45</v>
      </c>
      <c r="L53" s="22"/>
      <c r="M53" s="31" t="str">
        <f ca="1" t="shared" si="1"/>
        <v>0 Years, 1 Months</v>
      </c>
      <c r="N53" s="22">
        <v>9944746480</v>
      </c>
      <c r="O53" s="22">
        <v>9790167267</v>
      </c>
      <c r="P53" s="32" t="s">
        <v>157</v>
      </c>
      <c r="Q53" s="60" t="s">
        <v>292</v>
      </c>
    </row>
    <row r="54" s="6" customFormat="1" ht="63" customHeight="1" spans="1:17">
      <c r="A54" s="22">
        <v>51</v>
      </c>
      <c r="B54" s="23" t="s">
        <v>293</v>
      </c>
      <c r="C54" s="45" t="s">
        <v>294</v>
      </c>
      <c r="D54" s="45" t="s">
        <v>295</v>
      </c>
      <c r="E54" s="23" t="s">
        <v>22</v>
      </c>
      <c r="F54" s="22" t="s">
        <v>37</v>
      </c>
      <c r="G54" s="25">
        <v>25239</v>
      </c>
      <c r="H54" s="26" t="str">
        <f ca="1" t="shared" si="0"/>
        <v>57 years, 4 months</v>
      </c>
      <c r="I54" s="27">
        <v>45856</v>
      </c>
      <c r="J54" s="30" t="s">
        <v>296</v>
      </c>
      <c r="K54" s="22" t="s">
        <v>180</v>
      </c>
      <c r="L54" s="22"/>
      <c r="M54" s="31" t="str">
        <f ca="1" t="shared" si="1"/>
        <v>0 Years, 11 Months</v>
      </c>
      <c r="N54" s="22">
        <v>8344704680</v>
      </c>
      <c r="O54" s="22">
        <v>8344704680</v>
      </c>
      <c r="P54" s="32" t="s">
        <v>297</v>
      </c>
      <c r="Q54" s="60" t="s">
        <v>298</v>
      </c>
    </row>
    <row r="55" s="6" customFormat="1" ht="63" customHeight="1" spans="1:17">
      <c r="A55" s="22">
        <v>52</v>
      </c>
      <c r="B55" s="23" t="s">
        <v>299</v>
      </c>
      <c r="C55" s="45" t="s">
        <v>300</v>
      </c>
      <c r="D55" s="45" t="s">
        <v>301</v>
      </c>
      <c r="E55" s="23" t="s">
        <v>22</v>
      </c>
      <c r="F55" s="22" t="s">
        <v>57</v>
      </c>
      <c r="G55" s="25">
        <v>32679</v>
      </c>
      <c r="H55" s="26" t="str">
        <f ca="1" t="shared" si="0"/>
        <v>37 years, 0 months</v>
      </c>
      <c r="I55" s="27">
        <v>46158</v>
      </c>
      <c r="J55" s="30" t="s">
        <v>302</v>
      </c>
      <c r="K55" s="22" t="s">
        <v>32</v>
      </c>
      <c r="L55" s="22"/>
      <c r="M55" s="31" t="str">
        <f ca="1" t="shared" si="1"/>
        <v>0 Years, 1 Months</v>
      </c>
      <c r="N55" s="22">
        <v>9715493289</v>
      </c>
      <c r="O55" s="22">
        <v>9715493289</v>
      </c>
      <c r="P55" s="32" t="s">
        <v>303</v>
      </c>
      <c r="Q55" s="60" t="s">
        <v>304</v>
      </c>
    </row>
    <row r="56" s="6" customFormat="1" ht="63" customHeight="1" spans="1:17">
      <c r="A56" s="22">
        <v>53</v>
      </c>
      <c r="B56" s="23" t="s">
        <v>305</v>
      </c>
      <c r="C56" s="45" t="s">
        <v>306</v>
      </c>
      <c r="D56" s="45" t="s">
        <v>306</v>
      </c>
      <c r="E56" s="23" t="s">
        <v>65</v>
      </c>
      <c r="F56" s="22" t="s">
        <v>57</v>
      </c>
      <c r="G56" s="25">
        <v>38876</v>
      </c>
      <c r="H56" s="26" t="str">
        <f ca="1" t="shared" si="0"/>
        <v>20 years, 0 months</v>
      </c>
      <c r="I56" s="27">
        <v>46174</v>
      </c>
      <c r="J56" s="30" t="s">
        <v>307</v>
      </c>
      <c r="K56" s="22" t="s">
        <v>39</v>
      </c>
      <c r="L56" s="22"/>
      <c r="M56" s="31" t="str">
        <f ca="1" t="shared" si="1"/>
        <v>0 Years, 0 Months</v>
      </c>
      <c r="N56" s="22">
        <v>9629767113</v>
      </c>
      <c r="O56" s="22">
        <v>9698197113</v>
      </c>
      <c r="P56" s="32" t="s">
        <v>230</v>
      </c>
      <c r="Q56" s="60" t="s">
        <v>308</v>
      </c>
    </row>
    <row r="57" s="6" customFormat="1" ht="63" customHeight="1" spans="1:17">
      <c r="A57" s="22">
        <v>54</v>
      </c>
      <c r="B57" s="23" t="s">
        <v>309</v>
      </c>
      <c r="C57" s="45" t="s">
        <v>310</v>
      </c>
      <c r="D57" s="45" t="s">
        <v>311</v>
      </c>
      <c r="E57" s="23" t="s">
        <v>22</v>
      </c>
      <c r="F57" s="22" t="s">
        <v>57</v>
      </c>
      <c r="G57" s="25">
        <v>36160</v>
      </c>
      <c r="H57" s="26" t="str">
        <f ca="1" t="shared" si="0"/>
        <v>27 years, 5 months</v>
      </c>
      <c r="I57" s="27">
        <v>46178</v>
      </c>
      <c r="J57" s="30" t="s">
        <v>83</v>
      </c>
      <c r="K57" s="22" t="s">
        <v>25</v>
      </c>
      <c r="L57" s="22" t="s">
        <v>312</v>
      </c>
      <c r="M57" s="31" t="str">
        <f ca="1" t="shared" si="1"/>
        <v>0 Years, 0 Months</v>
      </c>
      <c r="N57" s="22">
        <v>9655874322</v>
      </c>
      <c r="O57" s="22">
        <v>9698465742</v>
      </c>
      <c r="P57" s="32" t="s">
        <v>313</v>
      </c>
      <c r="Q57" s="60" t="s">
        <v>314</v>
      </c>
    </row>
    <row r="58" s="6" customFormat="1" ht="63" customHeight="1" spans="1:17">
      <c r="A58" s="22">
        <v>55</v>
      </c>
      <c r="B58" s="23" t="s">
        <v>315</v>
      </c>
      <c r="C58" s="45" t="s">
        <v>316</v>
      </c>
      <c r="D58" s="45" t="s">
        <v>317</v>
      </c>
      <c r="E58" s="23" t="s">
        <v>22</v>
      </c>
      <c r="F58" s="22" t="s">
        <v>37</v>
      </c>
      <c r="G58" s="25">
        <v>32108</v>
      </c>
      <c r="H58" s="26" t="str">
        <f ca="1" t="shared" si="0"/>
        <v>38 years, 7 months</v>
      </c>
      <c r="I58" s="27">
        <v>46182</v>
      </c>
      <c r="J58" s="30" t="s">
        <v>83</v>
      </c>
      <c r="K58" s="22" t="s">
        <v>32</v>
      </c>
      <c r="L58" s="22"/>
      <c r="M58" s="31" t="str">
        <f ca="1" t="shared" si="1"/>
        <v>0 Years, 0 Months</v>
      </c>
      <c r="N58" s="22">
        <v>7695829596</v>
      </c>
      <c r="O58" s="22">
        <v>9566686009</v>
      </c>
      <c r="P58" s="32" t="s">
        <v>318</v>
      </c>
      <c r="Q58" s="60" t="s">
        <v>319</v>
      </c>
    </row>
    <row r="59" s="6" customFormat="1" ht="63" customHeight="1" spans="1:17">
      <c r="A59" s="22">
        <v>56</v>
      </c>
      <c r="B59" s="23" t="s">
        <v>320</v>
      </c>
      <c r="C59" s="45" t="s">
        <v>321</v>
      </c>
      <c r="D59" s="45" t="s">
        <v>322</v>
      </c>
      <c r="E59" s="23" t="s">
        <v>22</v>
      </c>
      <c r="F59" s="22" t="s">
        <v>37</v>
      </c>
      <c r="G59" s="25">
        <v>34443</v>
      </c>
      <c r="H59" s="26" t="str">
        <f ca="1" t="shared" si="0"/>
        <v>32 years, 2 months</v>
      </c>
      <c r="I59" s="27">
        <v>46190</v>
      </c>
      <c r="J59" s="30" t="s">
        <v>323</v>
      </c>
      <c r="K59" s="22" t="s">
        <v>25</v>
      </c>
      <c r="L59" s="22" t="s">
        <v>324</v>
      </c>
      <c r="M59" s="31" t="str">
        <f ca="1" t="shared" si="1"/>
        <v>0 Years, 0 Months</v>
      </c>
      <c r="N59" s="22">
        <v>7305260410</v>
      </c>
      <c r="O59" s="22">
        <v>9952352546</v>
      </c>
      <c r="P59" s="32" t="s">
        <v>325</v>
      </c>
      <c r="Q59" s="60" t="s">
        <v>326</v>
      </c>
    </row>
    <row r="60" ht="58" customHeight="1" spans="1:17">
      <c r="A60" s="22">
        <v>57</v>
      </c>
      <c r="B60" s="23" t="s">
        <v>327</v>
      </c>
      <c r="C60" s="45" t="s">
        <v>328</v>
      </c>
      <c r="D60" s="45" t="s">
        <v>329</v>
      </c>
      <c r="E60" s="23" t="s">
        <v>22</v>
      </c>
      <c r="F60" s="22" t="s">
        <v>70</v>
      </c>
      <c r="G60" s="25">
        <v>36865</v>
      </c>
      <c r="H60" s="26" t="str">
        <f ca="1" t="shared" si="0"/>
        <v>25 years, 6 months</v>
      </c>
      <c r="I60" s="27">
        <v>46195</v>
      </c>
      <c r="J60" s="30" t="s">
        <v>330</v>
      </c>
      <c r="K60" s="22" t="s">
        <v>45</v>
      </c>
      <c r="L60" s="22"/>
      <c r="M60" s="31" t="str">
        <f ca="1" t="shared" si="1"/>
        <v>0 Years, 0 Months</v>
      </c>
      <c r="N60" s="22">
        <v>9384772156</v>
      </c>
      <c r="O60" s="22">
        <v>8973004539</v>
      </c>
      <c r="P60" s="32" t="s">
        <v>331</v>
      </c>
      <c r="Q60" s="60" t="s">
        <v>332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5" sqref="E5"/>
    </sheetView>
  </sheetViews>
  <sheetFormatPr defaultColWidth="9.14285714285714" defaultRowHeight="15" outlineLevelCol="2"/>
  <cols>
    <col min="1" max="1" width="8.28571428571429" style="1" customWidth="1"/>
    <col min="2" max="2" width="25.2857142857143" style="1" customWidth="1"/>
    <col min="3" max="3" width="52.2857142857143" style="1" customWidth="1"/>
    <col min="4" max="16384" width="9.14285714285714" style="1"/>
  </cols>
  <sheetData>
    <row r="1" s="1" customFormat="1" ht="31" customHeight="1" spans="1:3">
      <c r="A1" s="2" t="s">
        <v>333</v>
      </c>
      <c r="B1" s="2"/>
      <c r="C1" s="2"/>
    </row>
    <row r="2" s="1" customFormat="1" ht="30" customHeight="1" spans="1:3">
      <c r="A2" s="3" t="s">
        <v>334</v>
      </c>
      <c r="B2" s="3" t="s">
        <v>4</v>
      </c>
      <c r="C2" s="3" t="s">
        <v>13</v>
      </c>
    </row>
    <row r="3" s="1" customFormat="1" ht="33" customHeight="1" spans="1:3">
      <c r="A3" s="4">
        <v>1</v>
      </c>
      <c r="B3" s="5" t="s">
        <v>335</v>
      </c>
      <c r="C3" s="5" t="s">
        <v>336</v>
      </c>
    </row>
    <row r="4" s="1" customFormat="1" ht="33" customHeight="1" spans="1:3">
      <c r="A4" s="4">
        <v>2</v>
      </c>
      <c r="B4" s="5" t="s">
        <v>337</v>
      </c>
      <c r="C4" s="5" t="s">
        <v>338</v>
      </c>
    </row>
    <row r="5" s="1" customFormat="1" ht="33" customHeight="1" spans="1:3">
      <c r="A5" s="4">
        <v>3</v>
      </c>
      <c r="B5" s="5" t="s">
        <v>339</v>
      </c>
      <c r="C5" s="5" t="s">
        <v>340</v>
      </c>
    </row>
    <row r="6" s="1" customFormat="1" ht="33" customHeight="1" spans="1:3">
      <c r="A6" s="4">
        <v>4</v>
      </c>
      <c r="B6" s="5" t="s">
        <v>341</v>
      </c>
      <c r="C6" s="5" t="s">
        <v>342</v>
      </c>
    </row>
    <row r="7" s="1" customFormat="1" ht="33" customHeight="1" spans="1:3">
      <c r="A7" s="4">
        <v>5</v>
      </c>
      <c r="B7" s="5" t="s">
        <v>343</v>
      </c>
      <c r="C7" s="5" t="s">
        <v>344</v>
      </c>
    </row>
    <row r="8" s="1" customFormat="1" ht="33" customHeight="1" spans="1:3">
      <c r="A8" s="4">
        <v>6</v>
      </c>
      <c r="B8" s="5" t="s">
        <v>345</v>
      </c>
      <c r="C8" s="5" t="s">
        <v>346</v>
      </c>
    </row>
    <row r="9" s="1" customFormat="1" ht="33" customHeight="1" spans="1:3">
      <c r="A9" s="4">
        <v>7</v>
      </c>
      <c r="B9" s="5" t="s">
        <v>347</v>
      </c>
      <c r="C9" s="5" t="s">
        <v>348</v>
      </c>
    </row>
    <row r="10" s="1" customFormat="1" ht="33" customHeight="1" spans="1:3">
      <c r="A10" s="4">
        <v>8</v>
      </c>
      <c r="B10" s="5" t="s">
        <v>349</v>
      </c>
      <c r="C10" s="5" t="s">
        <v>350</v>
      </c>
    </row>
    <row r="11" s="1" customFormat="1" ht="33" customHeight="1" spans="1:3">
      <c r="A11" s="4">
        <v>9</v>
      </c>
      <c r="B11" s="5" t="s">
        <v>351</v>
      </c>
      <c r="C11" s="5" t="s">
        <v>346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STAFF name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G. Rokini Priya</cp:lastModifiedBy>
  <dcterms:created xsi:type="dcterms:W3CDTF">2026-06-29T05:49:00Z</dcterms:created>
  <dcterms:modified xsi:type="dcterms:W3CDTF">2026-06-30T04:55:35Z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4DBAB98ADA324DBB8578181C59BEBB1D_13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